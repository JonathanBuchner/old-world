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er\old-world\ow_api\docs\ow_odds_lib_test\"/>
    </mc:Choice>
  </mc:AlternateContent>
  <xr:revisionPtr revIDLastSave="0" documentId="13_ncr:1_{3F7978D3-5720-4272-AD9E-2E9D52BDC874}" xr6:coauthVersionLast="47" xr6:coauthVersionMax="47" xr10:uidLastSave="{00000000-0000-0000-0000-000000000000}"/>
  <bookViews>
    <workbookView xWindow="28920" yWindow="0" windowWidth="28785" windowHeight="23385" activeTab="1" xr2:uid="{87951BA5-A991-4CE1-8496-85D489931AF2}"/>
  </bookViews>
  <sheets>
    <sheet name="ToHitTests" sheetId="2" r:id="rId1"/>
    <sheet name="ToWoundTes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4" i="1" l="1"/>
  <c r="S30" i="2"/>
  <c r="S29" i="2"/>
  <c r="S28" i="2"/>
  <c r="S26" i="2"/>
  <c r="S25" i="2"/>
  <c r="X25" i="2" s="1"/>
  <c r="S24" i="2"/>
  <c r="S26" i="1"/>
  <c r="S25" i="1"/>
  <c r="X24" i="1"/>
  <c r="S18" i="1"/>
  <c r="S16" i="1"/>
  <c r="Z3" i="2"/>
  <c r="Z4" i="2"/>
  <c r="Z6" i="2"/>
  <c r="Z7" i="2"/>
  <c r="Z8" i="2"/>
  <c r="Z9" i="2"/>
  <c r="Z10" i="2"/>
  <c r="Z12" i="2"/>
  <c r="Z13" i="2"/>
  <c r="Z14" i="2"/>
  <c r="Z16" i="2"/>
  <c r="Z17" i="2"/>
  <c r="Z18" i="2"/>
  <c r="Z20" i="2"/>
  <c r="Z21" i="2"/>
  <c r="Z22" i="2"/>
  <c r="Z24" i="2"/>
  <c r="Z25" i="2"/>
  <c r="Z26" i="2"/>
  <c r="Z28" i="2"/>
  <c r="Z29" i="2"/>
  <c r="Z30" i="2"/>
  <c r="Z32" i="2"/>
  <c r="Z33" i="2"/>
  <c r="Z34" i="2"/>
  <c r="Z36" i="2"/>
  <c r="Z37" i="2"/>
  <c r="Z38" i="2"/>
  <c r="Z40" i="2"/>
  <c r="Z41" i="2"/>
  <c r="Z42" i="2"/>
  <c r="Z43" i="2"/>
  <c r="Z45" i="2"/>
  <c r="Z46" i="2"/>
  <c r="Z47" i="2"/>
  <c r="Z48" i="2"/>
  <c r="Z50" i="2"/>
  <c r="Z51" i="2"/>
  <c r="Z52" i="2"/>
  <c r="Z54" i="2"/>
  <c r="Z55" i="2"/>
  <c r="Z56" i="2"/>
  <c r="Z58" i="2"/>
  <c r="Z59" i="2"/>
  <c r="Z60" i="2"/>
  <c r="Z61" i="2"/>
  <c r="Z2" i="2"/>
  <c r="Z3" i="1"/>
  <c r="Z4" i="1"/>
  <c r="Z6" i="1"/>
  <c r="Z7" i="1"/>
  <c r="Z8" i="1"/>
  <c r="Z9" i="1"/>
  <c r="Z10" i="1"/>
  <c r="Z12" i="1"/>
  <c r="Z13" i="1"/>
  <c r="Z14" i="1"/>
  <c r="Z16" i="1"/>
  <c r="Z17" i="1"/>
  <c r="Z18" i="1"/>
  <c r="Z20" i="1"/>
  <c r="Z21" i="1"/>
  <c r="Z22" i="1"/>
  <c r="Z24" i="1"/>
  <c r="Z25" i="1"/>
  <c r="Z26" i="1"/>
  <c r="Z28" i="1"/>
  <c r="Z29" i="1"/>
  <c r="Z30" i="1"/>
  <c r="Z32" i="1"/>
  <c r="Z33" i="1"/>
  <c r="Z34" i="1"/>
  <c r="Z36" i="1"/>
  <c r="Z37" i="1"/>
  <c r="Z38" i="1"/>
  <c r="Z40" i="1"/>
  <c r="Z41" i="1"/>
  <c r="Z42" i="1"/>
  <c r="Z43" i="1"/>
  <c r="Z45" i="1"/>
  <c r="Z46" i="1"/>
  <c r="Z47" i="1"/>
  <c r="Z48" i="1"/>
  <c r="Z50" i="1"/>
  <c r="Z51" i="1"/>
  <c r="Z52" i="1"/>
  <c r="Z54" i="1"/>
  <c r="Z55" i="1"/>
  <c r="Z56" i="1"/>
  <c r="Z58" i="1"/>
  <c r="Z59" i="1"/>
  <c r="Z60" i="1"/>
  <c r="Z61" i="1"/>
  <c r="Z2" i="1"/>
  <c r="Y61" i="2"/>
  <c r="X61" i="2"/>
  <c r="W61" i="2"/>
  <c r="Y60" i="2"/>
  <c r="X60" i="2"/>
  <c r="W60" i="2"/>
  <c r="Y59" i="2"/>
  <c r="X59" i="2"/>
  <c r="W59" i="2"/>
  <c r="Y58" i="2"/>
  <c r="X58" i="2"/>
  <c r="W58" i="2"/>
  <c r="Y56" i="2"/>
  <c r="X56" i="2"/>
  <c r="W56" i="2"/>
  <c r="Y55" i="2"/>
  <c r="X55" i="2"/>
  <c r="W55" i="2"/>
  <c r="Y54" i="2"/>
  <c r="X54" i="2"/>
  <c r="W54" i="2"/>
  <c r="Y52" i="2"/>
  <c r="X52" i="2"/>
  <c r="W52" i="2"/>
  <c r="Y51" i="2"/>
  <c r="X51" i="2"/>
  <c r="W51" i="2"/>
  <c r="Y50" i="2"/>
  <c r="X50" i="2"/>
  <c r="W50" i="2"/>
  <c r="Y48" i="2"/>
  <c r="X48" i="2"/>
  <c r="W48" i="2"/>
  <c r="Y47" i="2"/>
  <c r="X47" i="2"/>
  <c r="W47" i="2"/>
  <c r="Y46" i="2"/>
  <c r="X46" i="2"/>
  <c r="W46" i="2"/>
  <c r="Y45" i="2"/>
  <c r="X45" i="2"/>
  <c r="W45" i="2"/>
  <c r="Y43" i="2"/>
  <c r="X43" i="2"/>
  <c r="W43" i="2"/>
  <c r="Y42" i="2"/>
  <c r="X42" i="2"/>
  <c r="W42" i="2"/>
  <c r="Y41" i="2"/>
  <c r="X41" i="2"/>
  <c r="W41" i="2"/>
  <c r="Y40" i="2"/>
  <c r="X40" i="2"/>
  <c r="W40" i="2"/>
  <c r="Y38" i="2"/>
  <c r="X38" i="2"/>
  <c r="W38" i="2"/>
  <c r="Y37" i="2"/>
  <c r="X37" i="2"/>
  <c r="W37" i="2"/>
  <c r="Y36" i="2"/>
  <c r="X36" i="2"/>
  <c r="W36" i="2"/>
  <c r="Y34" i="2"/>
  <c r="X34" i="2"/>
  <c r="W34" i="2"/>
  <c r="Y33" i="2"/>
  <c r="X33" i="2"/>
  <c r="W33" i="2"/>
  <c r="Y32" i="2"/>
  <c r="X32" i="2"/>
  <c r="W32" i="2"/>
  <c r="Y30" i="2"/>
  <c r="X30" i="2"/>
  <c r="Y29" i="2"/>
  <c r="X29" i="2"/>
  <c r="Y28" i="2"/>
  <c r="X28" i="2"/>
  <c r="Y27" i="2"/>
  <c r="Y26" i="2"/>
  <c r="X26" i="2"/>
  <c r="Y25" i="2"/>
  <c r="W25" i="2"/>
  <c r="Y24" i="2"/>
  <c r="X24" i="2"/>
  <c r="Y23" i="2"/>
  <c r="Y22" i="2"/>
  <c r="X22" i="2"/>
  <c r="W22" i="2"/>
  <c r="Y21" i="2"/>
  <c r="X21" i="2"/>
  <c r="W21" i="2"/>
  <c r="Y20" i="2"/>
  <c r="X20" i="2"/>
  <c r="W20" i="2"/>
  <c r="Y19" i="2"/>
  <c r="Y18" i="2"/>
  <c r="S18" i="2"/>
  <c r="X18" i="2" s="1"/>
  <c r="Y17" i="2"/>
  <c r="S17" i="2"/>
  <c r="X17" i="2" s="1"/>
  <c r="Y16" i="2"/>
  <c r="S16" i="2"/>
  <c r="X16" i="2" s="1"/>
  <c r="Y15" i="2"/>
  <c r="Y14" i="2"/>
  <c r="X14" i="2"/>
  <c r="W14" i="2"/>
  <c r="Y13" i="2"/>
  <c r="X13" i="2"/>
  <c r="W13" i="2"/>
  <c r="Y12" i="2"/>
  <c r="X12" i="2"/>
  <c r="W12" i="2"/>
  <c r="Y11" i="2"/>
  <c r="Y10" i="2"/>
  <c r="X10" i="2"/>
  <c r="W10" i="2"/>
  <c r="Y9" i="2"/>
  <c r="X9" i="2"/>
  <c r="W9" i="2"/>
  <c r="Y8" i="2"/>
  <c r="X8" i="2"/>
  <c r="W8" i="2"/>
  <c r="Y7" i="2"/>
  <c r="X7" i="2"/>
  <c r="W7" i="2"/>
  <c r="Y6" i="2"/>
  <c r="X6" i="2"/>
  <c r="W6" i="2"/>
  <c r="Y4" i="2"/>
  <c r="X4" i="2"/>
  <c r="W4" i="2"/>
  <c r="Y3" i="2"/>
  <c r="X3" i="2"/>
  <c r="W3" i="2"/>
  <c r="Y2" i="2"/>
  <c r="X2" i="2"/>
  <c r="W2" i="2"/>
  <c r="Y61" i="1"/>
  <c r="X61" i="1"/>
  <c r="W61" i="1"/>
  <c r="Y60" i="1"/>
  <c r="X60" i="1"/>
  <c r="W60" i="1"/>
  <c r="Y59" i="1"/>
  <c r="X59" i="1"/>
  <c r="W59" i="1"/>
  <c r="Y58" i="1"/>
  <c r="X58" i="1"/>
  <c r="W58" i="1"/>
  <c r="Y52" i="1"/>
  <c r="X52" i="1"/>
  <c r="W52" i="1"/>
  <c r="Y51" i="1"/>
  <c r="X51" i="1"/>
  <c r="W51" i="1"/>
  <c r="Y50" i="1"/>
  <c r="X50" i="1"/>
  <c r="W50" i="1"/>
  <c r="Y56" i="1"/>
  <c r="X56" i="1"/>
  <c r="W56" i="1"/>
  <c r="Y55" i="1"/>
  <c r="X55" i="1"/>
  <c r="W55" i="1"/>
  <c r="Y54" i="1"/>
  <c r="X54" i="1"/>
  <c r="W54" i="1"/>
  <c r="Y4" i="1"/>
  <c r="X4" i="1"/>
  <c r="W4" i="1"/>
  <c r="Y3" i="1"/>
  <c r="X3" i="1"/>
  <c r="W3" i="1"/>
  <c r="Y2" i="1"/>
  <c r="X2" i="1"/>
  <c r="W2" i="1"/>
  <c r="Y46" i="1"/>
  <c r="X46" i="1"/>
  <c r="W46" i="1"/>
  <c r="Y42" i="1"/>
  <c r="X42" i="1"/>
  <c r="W42" i="1"/>
  <c r="W43" i="1"/>
  <c r="X43" i="1"/>
  <c r="Y43" i="1"/>
  <c r="Y48" i="1"/>
  <c r="X48" i="1"/>
  <c r="W48" i="1"/>
  <c r="Y47" i="1"/>
  <c r="X47" i="1"/>
  <c r="W47" i="1"/>
  <c r="Y45" i="1"/>
  <c r="X45" i="1"/>
  <c r="W45" i="1"/>
  <c r="Y41" i="1"/>
  <c r="X41" i="1"/>
  <c r="W41" i="1"/>
  <c r="Y40" i="1"/>
  <c r="X40" i="1"/>
  <c r="W40" i="1"/>
  <c r="Y38" i="1"/>
  <c r="X38" i="1"/>
  <c r="W38" i="1"/>
  <c r="Y37" i="1"/>
  <c r="X37" i="1"/>
  <c r="W37" i="1"/>
  <c r="Y36" i="1"/>
  <c r="X36" i="1"/>
  <c r="W36" i="1"/>
  <c r="Y34" i="1"/>
  <c r="X34" i="1"/>
  <c r="W34" i="1"/>
  <c r="Y33" i="1"/>
  <c r="X33" i="1"/>
  <c r="W33" i="1"/>
  <c r="Y32" i="1"/>
  <c r="X32" i="1"/>
  <c r="W32" i="1"/>
  <c r="Y7" i="1"/>
  <c r="Y8" i="1"/>
  <c r="Y9" i="1"/>
  <c r="Y10" i="1"/>
  <c r="Y12" i="1"/>
  <c r="Y13" i="1"/>
  <c r="Y14" i="1"/>
  <c r="Y16" i="1"/>
  <c r="Y17" i="1"/>
  <c r="Y18" i="1"/>
  <c r="Y20" i="1"/>
  <c r="Y21" i="1"/>
  <c r="Y22" i="1"/>
  <c r="Y24" i="1"/>
  <c r="Y25" i="1"/>
  <c r="Y26" i="1"/>
  <c r="Y28" i="1"/>
  <c r="Y29" i="1"/>
  <c r="Y30" i="1"/>
  <c r="Y6" i="1"/>
  <c r="W6" i="1"/>
  <c r="X7" i="1"/>
  <c r="X8" i="1"/>
  <c r="X9" i="1"/>
  <c r="X10" i="1"/>
  <c r="X12" i="1"/>
  <c r="X13" i="1"/>
  <c r="X14" i="1"/>
  <c r="X20" i="1"/>
  <c r="X21" i="1"/>
  <c r="X22" i="1"/>
  <c r="X6" i="1"/>
  <c r="W7" i="1"/>
  <c r="W8" i="1"/>
  <c r="W9" i="1"/>
  <c r="W10" i="1"/>
  <c r="W12" i="1"/>
  <c r="W13" i="1"/>
  <c r="W14" i="1"/>
  <c r="W20" i="1"/>
  <c r="W21" i="1"/>
  <c r="W22" i="1"/>
  <c r="S30" i="1"/>
  <c r="W30" i="1" s="1"/>
  <c r="S29" i="1"/>
  <c r="W29" i="1" s="1"/>
  <c r="S28" i="1"/>
  <c r="X28" i="1" s="1"/>
  <c r="X25" i="1"/>
  <c r="X26" i="1"/>
  <c r="S17" i="1"/>
  <c r="X17" i="1" s="1"/>
  <c r="W18" i="1"/>
  <c r="X16" i="1"/>
  <c r="W24" i="2" l="1"/>
  <c r="W29" i="2"/>
  <c r="W16" i="2"/>
  <c r="W28" i="2"/>
  <c r="W17" i="2"/>
  <c r="W26" i="2"/>
  <c r="W18" i="2"/>
  <c r="W30" i="2"/>
  <c r="X29" i="1"/>
  <c r="W28" i="1"/>
  <c r="X18" i="1"/>
  <c r="W17" i="1"/>
  <c r="W16" i="1"/>
  <c r="X30" i="1"/>
  <c r="W26" i="1"/>
  <c r="W25" i="1"/>
  <c r="W24" i="1"/>
</calcChain>
</file>

<file path=xl/sharedStrings.xml><?xml version="1.0" encoding="utf-8"?>
<sst xmlns="http://schemas.openxmlformats.org/spreadsheetml/2006/main" count="146" uniqueCount="58">
  <si>
    <t>AttackerWS</t>
  </si>
  <si>
    <t>DefenderWS</t>
  </si>
  <si>
    <t>PoisonRule</t>
  </si>
  <si>
    <t>RerollMiss</t>
  </si>
  <si>
    <t>RerollHits</t>
  </si>
  <si>
    <t>ReRoll1s</t>
  </si>
  <si>
    <t>ReRoll6s</t>
  </si>
  <si>
    <t>RegularHitsDenominator</t>
  </si>
  <si>
    <t>RegularHitsNumerator</t>
  </si>
  <si>
    <t>PoisonHitsNumerator</t>
  </si>
  <si>
    <t>TestName</t>
  </si>
  <si>
    <t>Basic</t>
  </si>
  <si>
    <t>Poison</t>
  </si>
  <si>
    <t>Reroll6s</t>
  </si>
  <si>
    <t>Reroll1s</t>
  </si>
  <si>
    <t>RegularHitsNumeratorReduced</t>
  </si>
  <si>
    <t>RegularHitsDenominatorReduced</t>
  </si>
  <si>
    <t>PoisonHitsNumeratorReduced</t>
  </si>
  <si>
    <t>PoisonHitsDenominatorReduced</t>
  </si>
  <si>
    <t>Attacker has +1 ws ( .Add1Attr)</t>
  </si>
  <si>
    <t>Defender has +1 ws ( .Add1Attr)</t>
  </si>
  <si>
    <t>Attacker has -1 ws ( .Subtract1Attr)</t>
  </si>
  <si>
    <t>"+1 WS Attacker"</t>
  </si>
  <si>
    <t>"-1 WS Attacker"</t>
  </si>
  <si>
    <t>"+1 WS Defender"</t>
  </si>
  <si>
    <t>"-1 WS Defender"</t>
  </si>
  <si>
    <t>"+1 to hit"</t>
  </si>
  <si>
    <t>"-1 to hit"</t>
  </si>
  <si>
    <t>Alwayshit2</t>
  </si>
  <si>
    <t>Alwayshit5</t>
  </si>
  <si>
    <t>Alwayshit4</t>
  </si>
  <si>
    <t>Alwayshit3</t>
  </si>
  <si>
    <t>Always hit 2</t>
  </si>
  <si>
    <t>Always hit 4</t>
  </si>
  <si>
    <t>Always hit 3</t>
  </si>
  <si>
    <t>Always hit 5</t>
  </si>
  <si>
    <t>Reroll1 s</t>
  </si>
  <si>
    <t>AttackerS</t>
  </si>
  <si>
    <t>DefenderT</t>
  </si>
  <si>
    <t>Cleavingblow (a special 6 rule)</t>
  </si>
  <si>
    <t>Attacker has +1s ( .Add1Attr)</t>
  </si>
  <si>
    <t>Defender has +1t ( .Add1Attr)</t>
  </si>
  <si>
    <t>Attacker has -1 s ( .Subtract1Attr)</t>
  </si>
  <si>
    <t>Defender has -1 t ( .Subract1Attr)</t>
  </si>
  <si>
    <t>Attack +1 to wound (.Add1Result)</t>
  </si>
  <si>
    <t>Attack -1 to wound(.Subtract1Result)</t>
  </si>
  <si>
    <t>Always wound 2</t>
  </si>
  <si>
    <t xml:space="preserve">Always wound 3 </t>
  </si>
  <si>
    <t>Always wound 4</t>
  </si>
  <si>
    <t xml:space="preserve">Always wound 5 </t>
  </si>
  <si>
    <t>PoisonHitsDenominator</t>
  </si>
  <si>
    <t>Defender has -1 ws ( .Subtract1Attr)</t>
  </si>
  <si>
    <t>Special6HitsNumerator</t>
  </si>
  <si>
    <t>Special6HitsDenominator</t>
  </si>
  <si>
    <t>Special6HitsNumeratorReduced</t>
  </si>
  <si>
    <t>Special6HitsDenominatorReduced</t>
  </si>
  <si>
    <t>Attack +1 to hit (.Add1Result)</t>
  </si>
  <si>
    <t>Attacker -1 to hit (.Subtract1Result)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</si>
</sst>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0EA4-1CDA-4FE4-B7B5-441D6D1D9F89}">
  <dimension ref="A1:Z61"/>
  <sheetViews>
    <sheetView zoomScale="55" zoomScaleNormal="55" workbookViewId="0">
      <selection activeCell="X36" sqref="X36"/>
    </sheetView>
  </sheetViews>
  <sheetFormatPr defaultRowHeight="15" x14ac:dyDescent="0.25"/>
  <cols>
    <col min="1" max="1" width="18.42578125" customWidth="1"/>
    <col min="2" max="26" width="13" customWidth="1"/>
  </cols>
  <sheetData>
    <row r="1" spans="1:26" s="1" customFormat="1" ht="60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19</v>
      </c>
      <c r="J1" s="1" t="s">
        <v>21</v>
      </c>
      <c r="K1" s="1" t="s">
        <v>20</v>
      </c>
      <c r="L1" s="1" t="s">
        <v>51</v>
      </c>
      <c r="M1" s="1" t="s">
        <v>56</v>
      </c>
      <c r="N1" s="1" t="s">
        <v>57</v>
      </c>
      <c r="O1" s="1" t="s">
        <v>32</v>
      </c>
      <c r="P1" s="1" t="s">
        <v>34</v>
      </c>
      <c r="Q1" s="1" t="s">
        <v>33</v>
      </c>
      <c r="R1" s="1" t="s">
        <v>35</v>
      </c>
      <c r="S1" s="1" t="s">
        <v>8</v>
      </c>
      <c r="T1" s="1" t="s">
        <v>7</v>
      </c>
      <c r="U1" s="1" t="s">
        <v>9</v>
      </c>
      <c r="V1" s="1" t="s">
        <v>50</v>
      </c>
      <c r="W1" s="1" t="s">
        <v>15</v>
      </c>
      <c r="X1" s="1" t="s">
        <v>16</v>
      </c>
      <c r="Y1" s="1" t="s">
        <v>17</v>
      </c>
      <c r="Z1" s="1" t="s">
        <v>18</v>
      </c>
    </row>
    <row r="2" spans="1:26" s="1" customFormat="1" x14ac:dyDescent="0.25">
      <c r="A2" s="1" t="s">
        <v>11</v>
      </c>
      <c r="B2">
        <v>1</v>
      </c>
      <c r="C2">
        <v>3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>
        <v>2</v>
      </c>
      <c r="T2">
        <v>6</v>
      </c>
      <c r="U2">
        <v>0</v>
      </c>
      <c r="V2">
        <v>1</v>
      </c>
      <c r="W2">
        <f>S2/GCD(S2,T2)</f>
        <v>1</v>
      </c>
      <c r="X2">
        <f>T2/GCD(S2,T2)</f>
        <v>3</v>
      </c>
      <c r="Y2">
        <f>IF(V2 = 0, 0, U2/GCD(U2,V2))</f>
        <v>0</v>
      </c>
      <c r="Z2">
        <f>IF(V2 = 0, 0, V2/GCD(U2,V2))</f>
        <v>1</v>
      </c>
    </row>
    <row r="3" spans="1:26" s="1" customFormat="1" x14ac:dyDescent="0.25">
      <c r="A3" s="1" t="s">
        <v>11</v>
      </c>
      <c r="B3">
        <v>1</v>
      </c>
      <c r="C3">
        <v>1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>
        <v>3</v>
      </c>
      <c r="T3">
        <v>6</v>
      </c>
      <c r="U3">
        <v>0</v>
      </c>
      <c r="V3">
        <v>1</v>
      </c>
      <c r="W3">
        <f>S3/GCD(S3,T3)</f>
        <v>1</v>
      </c>
      <c r="X3">
        <f>T3/GCD(S3,T3)</f>
        <v>2</v>
      </c>
      <c r="Y3">
        <f>IF(V3 = 0, 0, U3/GCD(U3,V3))</f>
        <v>0</v>
      </c>
      <c r="Z3">
        <f t="shared" ref="Z3:Z61" si="0">IF(V3 = 0, 0, V3/GCD(U3,V3))</f>
        <v>1</v>
      </c>
    </row>
    <row r="4" spans="1:26" s="1" customFormat="1" x14ac:dyDescent="0.25">
      <c r="A4" s="1" t="s">
        <v>11</v>
      </c>
      <c r="B4">
        <v>3</v>
      </c>
      <c r="C4">
        <v>1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>
        <v>5</v>
      </c>
      <c r="T4">
        <v>6</v>
      </c>
      <c r="U4">
        <v>0</v>
      </c>
      <c r="V4">
        <v>1</v>
      </c>
      <c r="W4">
        <f>S4/GCD(S4,T4)</f>
        <v>5</v>
      </c>
      <c r="X4">
        <f>T4/GCD(S4,T4)</f>
        <v>6</v>
      </c>
      <c r="Y4">
        <f>IF(V4 = 0, 0, U4/GCD(U4,V4))</f>
        <v>0</v>
      </c>
      <c r="Z4">
        <f t="shared" si="0"/>
        <v>1</v>
      </c>
    </row>
    <row r="5" spans="1:26" s="1" customFormat="1" x14ac:dyDescent="0.25">
      <c r="Z5"/>
    </row>
    <row r="6" spans="1:26" x14ac:dyDescent="0.25">
      <c r="A6" t="s">
        <v>11</v>
      </c>
      <c r="B6">
        <v>3</v>
      </c>
      <c r="C6">
        <v>7</v>
      </c>
      <c r="S6">
        <v>2</v>
      </c>
      <c r="T6">
        <v>6</v>
      </c>
      <c r="U6">
        <v>0</v>
      </c>
      <c r="V6">
        <v>1</v>
      </c>
      <c r="W6">
        <f>S6/GCD(S6,T6)</f>
        <v>1</v>
      </c>
      <c r="X6">
        <f>T6/GCD(S6,T6)</f>
        <v>3</v>
      </c>
      <c r="Y6">
        <f t="shared" ref="Y6:Y30" si="1">IF(V6 = 0, 0, U6/GCD(U6,V6))</f>
        <v>0</v>
      </c>
      <c r="Z6">
        <f t="shared" si="0"/>
        <v>1</v>
      </c>
    </row>
    <row r="7" spans="1:26" x14ac:dyDescent="0.25">
      <c r="A7" t="s">
        <v>11</v>
      </c>
      <c r="B7">
        <v>4</v>
      </c>
      <c r="C7">
        <v>7</v>
      </c>
      <c r="S7">
        <v>3</v>
      </c>
      <c r="T7">
        <v>6</v>
      </c>
      <c r="U7">
        <v>0</v>
      </c>
      <c r="V7">
        <v>1</v>
      </c>
      <c r="W7">
        <f>S7/GCD(S7,T7)</f>
        <v>1</v>
      </c>
      <c r="X7">
        <f>T7/GCD(S7,T7)</f>
        <v>2</v>
      </c>
      <c r="Y7">
        <f t="shared" si="1"/>
        <v>0</v>
      </c>
      <c r="Z7">
        <f t="shared" si="0"/>
        <v>1</v>
      </c>
    </row>
    <row r="8" spans="1:26" x14ac:dyDescent="0.25">
      <c r="A8" t="s">
        <v>11</v>
      </c>
      <c r="B8">
        <v>7</v>
      </c>
      <c r="C8">
        <v>7</v>
      </c>
      <c r="S8">
        <v>3</v>
      </c>
      <c r="T8">
        <v>6</v>
      </c>
      <c r="U8">
        <v>0</v>
      </c>
      <c r="V8">
        <v>1</v>
      </c>
      <c r="W8">
        <f>S8/GCD(S8,T8)</f>
        <v>1</v>
      </c>
      <c r="X8">
        <f>T8/GCD(S8,T8)</f>
        <v>2</v>
      </c>
      <c r="Y8">
        <f t="shared" si="1"/>
        <v>0</v>
      </c>
      <c r="Z8">
        <f t="shared" si="0"/>
        <v>1</v>
      </c>
    </row>
    <row r="9" spans="1:26" x14ac:dyDescent="0.25">
      <c r="A9" t="s">
        <v>11</v>
      </c>
      <c r="B9">
        <v>8</v>
      </c>
      <c r="C9">
        <v>7</v>
      </c>
      <c r="S9">
        <v>4</v>
      </c>
      <c r="T9">
        <v>6</v>
      </c>
      <c r="U9">
        <v>0</v>
      </c>
      <c r="V9">
        <v>1</v>
      </c>
      <c r="W9">
        <f>S9/GCD(S9,T9)</f>
        <v>2</v>
      </c>
      <c r="X9">
        <f>T9/GCD(S9,T9)</f>
        <v>3</v>
      </c>
      <c r="Y9">
        <f t="shared" si="1"/>
        <v>0</v>
      </c>
      <c r="Z9">
        <f t="shared" si="0"/>
        <v>1</v>
      </c>
    </row>
    <row r="10" spans="1:26" x14ac:dyDescent="0.25">
      <c r="A10" t="s">
        <v>11</v>
      </c>
      <c r="B10">
        <v>5</v>
      </c>
      <c r="C10">
        <v>2</v>
      </c>
      <c r="S10">
        <v>5</v>
      </c>
      <c r="T10">
        <v>6</v>
      </c>
      <c r="U10">
        <v>0</v>
      </c>
      <c r="V10">
        <v>1</v>
      </c>
      <c r="W10">
        <f>S10/GCD(S10,T10)</f>
        <v>5</v>
      </c>
      <c r="X10">
        <f>T10/GCD(S10,T10)</f>
        <v>6</v>
      </c>
      <c r="Y10">
        <f t="shared" si="1"/>
        <v>0</v>
      </c>
      <c r="Z10">
        <f t="shared" si="0"/>
        <v>1</v>
      </c>
    </row>
    <row r="11" spans="1:26" x14ac:dyDescent="0.25">
      <c r="Y11">
        <f t="shared" si="1"/>
        <v>0</v>
      </c>
    </row>
    <row r="12" spans="1:26" x14ac:dyDescent="0.25">
      <c r="A12" t="s">
        <v>12</v>
      </c>
      <c r="B12">
        <v>1</v>
      </c>
      <c r="C12">
        <v>3</v>
      </c>
      <c r="D12">
        <v>1</v>
      </c>
      <c r="S12">
        <v>1</v>
      </c>
      <c r="T12">
        <v>6</v>
      </c>
      <c r="U12">
        <v>1</v>
      </c>
      <c r="V12">
        <v>6</v>
      </c>
      <c r="W12">
        <f>S12/GCD(S12,T12)</f>
        <v>1</v>
      </c>
      <c r="X12">
        <f>T12/GCD(S12,T12)</f>
        <v>6</v>
      </c>
      <c r="Y12">
        <f t="shared" si="1"/>
        <v>1</v>
      </c>
      <c r="Z12">
        <f t="shared" si="0"/>
        <v>6</v>
      </c>
    </row>
    <row r="13" spans="1:26" x14ac:dyDescent="0.25">
      <c r="A13" t="s">
        <v>12</v>
      </c>
      <c r="B13">
        <v>1</v>
      </c>
      <c r="C13">
        <v>1</v>
      </c>
      <c r="D13">
        <v>1</v>
      </c>
      <c r="S13">
        <v>2</v>
      </c>
      <c r="T13">
        <v>6</v>
      </c>
      <c r="U13">
        <v>1</v>
      </c>
      <c r="V13">
        <v>6</v>
      </c>
      <c r="W13">
        <f>S13/GCD(S13,T13)</f>
        <v>1</v>
      </c>
      <c r="X13">
        <f>T13/GCD(S13,T13)</f>
        <v>3</v>
      </c>
      <c r="Y13">
        <f t="shared" si="1"/>
        <v>1</v>
      </c>
      <c r="Z13">
        <f t="shared" si="0"/>
        <v>6</v>
      </c>
    </row>
    <row r="14" spans="1:26" x14ac:dyDescent="0.25">
      <c r="A14" t="s">
        <v>12</v>
      </c>
      <c r="B14">
        <v>3</v>
      </c>
      <c r="C14">
        <v>1</v>
      </c>
      <c r="D14">
        <v>1</v>
      </c>
      <c r="S14">
        <v>4</v>
      </c>
      <c r="T14">
        <v>6</v>
      </c>
      <c r="U14">
        <v>1</v>
      </c>
      <c r="V14">
        <v>6</v>
      </c>
      <c r="W14">
        <f>S14/GCD(S14,T14)</f>
        <v>2</v>
      </c>
      <c r="X14">
        <f>T14/GCD(S14,T14)</f>
        <v>3</v>
      </c>
      <c r="Y14">
        <f t="shared" si="1"/>
        <v>1</v>
      </c>
      <c r="Z14">
        <f t="shared" si="0"/>
        <v>6</v>
      </c>
    </row>
    <row r="15" spans="1:26" x14ac:dyDescent="0.25">
      <c r="Y15">
        <f t="shared" si="1"/>
        <v>0</v>
      </c>
    </row>
    <row r="16" spans="1:26" x14ac:dyDescent="0.25">
      <c r="A16" t="s">
        <v>3</v>
      </c>
      <c r="B16">
        <v>1</v>
      </c>
      <c r="C16">
        <v>3</v>
      </c>
      <c r="E16">
        <v>1</v>
      </c>
      <c r="S16">
        <f>12+24*2/6</f>
        <v>20</v>
      </c>
      <c r="T16">
        <v>36</v>
      </c>
      <c r="U16">
        <v>0</v>
      </c>
      <c r="V16">
        <v>1</v>
      </c>
      <c r="W16">
        <f>S16/GCD(S16,T16)</f>
        <v>5</v>
      </c>
      <c r="X16">
        <f>T16/GCD(S16,T16)</f>
        <v>9</v>
      </c>
      <c r="Y16">
        <f t="shared" si="1"/>
        <v>0</v>
      </c>
      <c r="Z16">
        <f t="shared" si="0"/>
        <v>1</v>
      </c>
    </row>
    <row r="17" spans="1:26" x14ac:dyDescent="0.25">
      <c r="A17" t="s">
        <v>3</v>
      </c>
      <c r="B17">
        <v>1</v>
      </c>
      <c r="C17">
        <v>1</v>
      </c>
      <c r="E17">
        <v>1</v>
      </c>
      <c r="S17">
        <f>18+18*3/6</f>
        <v>27</v>
      </c>
      <c r="T17">
        <v>36</v>
      </c>
      <c r="U17">
        <v>0</v>
      </c>
      <c r="V17">
        <v>1</v>
      </c>
      <c r="W17">
        <f>S17/GCD(S17,T17)</f>
        <v>3</v>
      </c>
      <c r="X17">
        <f>T17/GCD(S17,T17)</f>
        <v>4</v>
      </c>
      <c r="Y17">
        <f t="shared" si="1"/>
        <v>0</v>
      </c>
      <c r="Z17">
        <f t="shared" si="0"/>
        <v>1</v>
      </c>
    </row>
    <row r="18" spans="1:26" x14ac:dyDescent="0.25">
      <c r="A18" t="s">
        <v>3</v>
      </c>
      <c r="B18">
        <v>3</v>
      </c>
      <c r="C18">
        <v>1</v>
      </c>
      <c r="E18">
        <v>1</v>
      </c>
      <c r="S18">
        <f>30+6*5/6</f>
        <v>35</v>
      </c>
      <c r="T18">
        <v>36</v>
      </c>
      <c r="U18">
        <v>0</v>
      </c>
      <c r="V18">
        <v>1</v>
      </c>
      <c r="W18">
        <f>S18/GCD(S18,T18)</f>
        <v>35</v>
      </c>
      <c r="X18">
        <f>T18/GCD(S18,T18)</f>
        <v>36</v>
      </c>
      <c r="Y18">
        <f t="shared" si="1"/>
        <v>0</v>
      </c>
      <c r="Z18">
        <f t="shared" si="0"/>
        <v>1</v>
      </c>
    </row>
    <row r="19" spans="1:26" x14ac:dyDescent="0.25">
      <c r="Y19">
        <f t="shared" si="1"/>
        <v>0</v>
      </c>
    </row>
    <row r="20" spans="1:26" x14ac:dyDescent="0.25">
      <c r="A20" t="s">
        <v>4</v>
      </c>
      <c r="B20">
        <v>1</v>
      </c>
      <c r="C20">
        <v>3</v>
      </c>
      <c r="F20">
        <v>1</v>
      </c>
      <c r="S20">
        <v>4</v>
      </c>
      <c r="T20">
        <v>36</v>
      </c>
      <c r="U20">
        <v>0</v>
      </c>
      <c r="V20">
        <v>1</v>
      </c>
      <c r="W20">
        <f>S20/GCD(S20,T20)</f>
        <v>1</v>
      </c>
      <c r="X20">
        <f>T20/GCD(S20,T20)</f>
        <v>9</v>
      </c>
      <c r="Y20">
        <f t="shared" si="1"/>
        <v>0</v>
      </c>
      <c r="Z20">
        <f t="shared" si="0"/>
        <v>1</v>
      </c>
    </row>
    <row r="21" spans="1:26" x14ac:dyDescent="0.25">
      <c r="A21" t="s">
        <v>4</v>
      </c>
      <c r="B21">
        <v>1</v>
      </c>
      <c r="C21">
        <v>1</v>
      </c>
      <c r="F21">
        <v>1</v>
      </c>
      <c r="S21">
        <v>9</v>
      </c>
      <c r="T21">
        <v>36</v>
      </c>
      <c r="U21">
        <v>0</v>
      </c>
      <c r="V21">
        <v>1</v>
      </c>
      <c r="W21">
        <f>S21/GCD(S21,T21)</f>
        <v>1</v>
      </c>
      <c r="X21">
        <f>T21/GCD(S21,T21)</f>
        <v>4</v>
      </c>
      <c r="Y21">
        <f t="shared" si="1"/>
        <v>0</v>
      </c>
      <c r="Z21">
        <f t="shared" si="0"/>
        <v>1</v>
      </c>
    </row>
    <row r="22" spans="1:26" x14ac:dyDescent="0.25">
      <c r="A22" t="s">
        <v>4</v>
      </c>
      <c r="B22">
        <v>3</v>
      </c>
      <c r="C22">
        <v>1</v>
      </c>
      <c r="F22">
        <v>1</v>
      </c>
      <c r="S22">
        <v>25</v>
      </c>
      <c r="T22">
        <v>36</v>
      </c>
      <c r="U22">
        <v>0</v>
      </c>
      <c r="V22">
        <v>1</v>
      </c>
      <c r="W22">
        <f>S22/GCD(S22,T22)</f>
        <v>25</v>
      </c>
      <c r="X22">
        <f>T22/GCD(S22,T22)</f>
        <v>36</v>
      </c>
      <c r="Y22">
        <f t="shared" si="1"/>
        <v>0</v>
      </c>
      <c r="Z22">
        <f t="shared" si="0"/>
        <v>1</v>
      </c>
    </row>
    <row r="23" spans="1:26" x14ac:dyDescent="0.25">
      <c r="Y23">
        <f t="shared" si="1"/>
        <v>0</v>
      </c>
    </row>
    <row r="24" spans="1:26" x14ac:dyDescent="0.25">
      <c r="A24" t="s">
        <v>14</v>
      </c>
      <c r="B24">
        <v>1</v>
      </c>
      <c r="C24">
        <v>3</v>
      </c>
      <c r="G24">
        <v>1</v>
      </c>
      <c r="S24">
        <f>12 + 6*2/6</f>
        <v>14</v>
      </c>
      <c r="T24">
        <v>36</v>
      </c>
      <c r="U24">
        <v>0</v>
      </c>
      <c r="V24">
        <v>1</v>
      </c>
      <c r="W24">
        <f>S24/GCD(S24,T24)</f>
        <v>7</v>
      </c>
      <c r="X24">
        <f>T24/GCD(S24,T24)</f>
        <v>18</v>
      </c>
      <c r="Y24">
        <f t="shared" si="1"/>
        <v>0</v>
      </c>
      <c r="Z24">
        <f t="shared" si="0"/>
        <v>1</v>
      </c>
    </row>
    <row r="25" spans="1:26" x14ac:dyDescent="0.25">
      <c r="A25" t="s">
        <v>14</v>
      </c>
      <c r="B25">
        <v>1</v>
      </c>
      <c r="C25">
        <v>1</v>
      </c>
      <c r="G25">
        <v>1</v>
      </c>
      <c r="S25">
        <f xml:space="preserve"> 18 + 6*3/6</f>
        <v>21</v>
      </c>
      <c r="T25">
        <v>36</v>
      </c>
      <c r="U25">
        <v>0</v>
      </c>
      <c r="V25">
        <v>1</v>
      </c>
      <c r="W25">
        <f>S25/GCD(S25,T25)</f>
        <v>7</v>
      </c>
      <c r="X25">
        <f>T25/GCD(S25,T25)</f>
        <v>12</v>
      </c>
      <c r="Y25">
        <f t="shared" si="1"/>
        <v>0</v>
      </c>
      <c r="Z25">
        <f t="shared" si="0"/>
        <v>1</v>
      </c>
    </row>
    <row r="26" spans="1:26" x14ac:dyDescent="0.25">
      <c r="A26" t="s">
        <v>14</v>
      </c>
      <c r="B26">
        <v>3</v>
      </c>
      <c r="C26">
        <v>1</v>
      </c>
      <c r="G26">
        <v>1</v>
      </c>
      <c r="S26">
        <f xml:space="preserve"> 30 + 6*5/6</f>
        <v>35</v>
      </c>
      <c r="T26">
        <v>36</v>
      </c>
      <c r="U26">
        <v>0</v>
      </c>
      <c r="V26">
        <v>1</v>
      </c>
      <c r="W26">
        <f>S26/GCD(S26,T26)</f>
        <v>35</v>
      </c>
      <c r="X26">
        <f>T26/GCD(S26,T26)</f>
        <v>36</v>
      </c>
      <c r="Y26">
        <f t="shared" si="1"/>
        <v>0</v>
      </c>
      <c r="Z26">
        <f t="shared" si="0"/>
        <v>1</v>
      </c>
    </row>
    <row r="27" spans="1:26" x14ac:dyDescent="0.25">
      <c r="Y27">
        <f t="shared" si="1"/>
        <v>0</v>
      </c>
    </row>
    <row r="28" spans="1:26" x14ac:dyDescent="0.25">
      <c r="A28" t="s">
        <v>13</v>
      </c>
      <c r="B28">
        <v>1</v>
      </c>
      <c r="C28">
        <v>3</v>
      </c>
      <c r="H28">
        <v>1</v>
      </c>
      <c r="S28">
        <f xml:space="preserve"> 6 + 6*2/6</f>
        <v>8</v>
      </c>
      <c r="T28">
        <v>36</v>
      </c>
      <c r="U28">
        <v>0</v>
      </c>
      <c r="V28">
        <v>1</v>
      </c>
      <c r="W28">
        <f>S28/GCD(S28,T28)</f>
        <v>2</v>
      </c>
      <c r="X28">
        <f>T28/GCD(S28,T28)</f>
        <v>9</v>
      </c>
      <c r="Y28">
        <f t="shared" si="1"/>
        <v>0</v>
      </c>
      <c r="Z28">
        <f t="shared" si="0"/>
        <v>1</v>
      </c>
    </row>
    <row r="29" spans="1:26" x14ac:dyDescent="0.25">
      <c r="A29" t="s">
        <v>13</v>
      </c>
      <c r="B29">
        <v>1</v>
      </c>
      <c r="C29">
        <v>1</v>
      </c>
      <c r="H29">
        <v>1</v>
      </c>
      <c r="S29">
        <f xml:space="preserve"> 12 + 6*3/6</f>
        <v>15</v>
      </c>
      <c r="T29">
        <v>36</v>
      </c>
      <c r="U29">
        <v>0</v>
      </c>
      <c r="V29">
        <v>1</v>
      </c>
      <c r="W29">
        <f>S29/GCD(S29,T29)</f>
        <v>5</v>
      </c>
      <c r="X29">
        <f>T29/GCD(S29,T29)</f>
        <v>12</v>
      </c>
      <c r="Y29">
        <f t="shared" si="1"/>
        <v>0</v>
      </c>
      <c r="Z29">
        <f t="shared" si="0"/>
        <v>1</v>
      </c>
    </row>
    <row r="30" spans="1:26" x14ac:dyDescent="0.25">
      <c r="A30" t="s">
        <v>13</v>
      </c>
      <c r="B30">
        <v>3</v>
      </c>
      <c r="C30">
        <v>1</v>
      </c>
      <c r="H30">
        <v>1</v>
      </c>
      <c r="S30">
        <f xml:space="preserve"> 24 + 6*5/6</f>
        <v>29</v>
      </c>
      <c r="T30">
        <v>36</v>
      </c>
      <c r="U30">
        <v>0</v>
      </c>
      <c r="V30">
        <v>1</v>
      </c>
      <c r="W30">
        <f>S30/GCD(S30,T30)</f>
        <v>29</v>
      </c>
      <c r="X30">
        <f>T30/GCD(S30,T30)</f>
        <v>36</v>
      </c>
      <c r="Y30">
        <f t="shared" si="1"/>
        <v>0</v>
      </c>
      <c r="Z30">
        <f t="shared" si="0"/>
        <v>1</v>
      </c>
    </row>
    <row r="32" spans="1:26" x14ac:dyDescent="0.25">
      <c r="A32" t="s">
        <v>22</v>
      </c>
      <c r="B32">
        <v>1</v>
      </c>
      <c r="C32">
        <v>3</v>
      </c>
      <c r="I32">
        <v>1</v>
      </c>
      <c r="S32">
        <v>3</v>
      </c>
      <c r="T32">
        <v>6</v>
      </c>
      <c r="U32">
        <v>0</v>
      </c>
      <c r="V32">
        <v>1</v>
      </c>
      <c r="W32">
        <f>S32/GCD(S32,T32)</f>
        <v>1</v>
      </c>
      <c r="X32">
        <f>T32/GCD(S32,T32)</f>
        <v>2</v>
      </c>
      <c r="Y32">
        <f>IF(V32 = 0, 0, U32/GCD(U32,V32))</f>
        <v>0</v>
      </c>
      <c r="Z32">
        <f t="shared" si="0"/>
        <v>1</v>
      </c>
    </row>
    <row r="33" spans="1:26" x14ac:dyDescent="0.25">
      <c r="A33" t="s">
        <v>22</v>
      </c>
      <c r="B33">
        <v>1</v>
      </c>
      <c r="C33">
        <v>1</v>
      </c>
      <c r="I33">
        <v>1</v>
      </c>
      <c r="S33">
        <v>4</v>
      </c>
      <c r="T33">
        <v>6</v>
      </c>
      <c r="U33">
        <v>0</v>
      </c>
      <c r="V33">
        <v>1</v>
      </c>
      <c r="W33">
        <f>S33/GCD(S33,T33)</f>
        <v>2</v>
      </c>
      <c r="X33">
        <f>T33/GCD(S33,T33)</f>
        <v>3</v>
      </c>
      <c r="Y33">
        <f>IF(V33 = 0, 0, U33/GCD(U33,V33))</f>
        <v>0</v>
      </c>
      <c r="Z33">
        <f t="shared" si="0"/>
        <v>1</v>
      </c>
    </row>
    <row r="34" spans="1:26" x14ac:dyDescent="0.25">
      <c r="A34" t="s">
        <v>22</v>
      </c>
      <c r="B34">
        <v>3</v>
      </c>
      <c r="C34">
        <v>1</v>
      </c>
      <c r="I34">
        <v>1</v>
      </c>
      <c r="S34">
        <v>5</v>
      </c>
      <c r="T34">
        <v>6</v>
      </c>
      <c r="U34">
        <v>0</v>
      </c>
      <c r="V34">
        <v>1</v>
      </c>
      <c r="W34">
        <f>S34/GCD(S34,T34)</f>
        <v>5</v>
      </c>
      <c r="X34">
        <f>T34/GCD(S34,T34)</f>
        <v>6</v>
      </c>
      <c r="Y34">
        <f>IF(V34 = 0, 0, U34/GCD(U34,V34))</f>
        <v>0</v>
      </c>
      <c r="Z34">
        <f t="shared" si="0"/>
        <v>1</v>
      </c>
    </row>
    <row r="36" spans="1:26" x14ac:dyDescent="0.25">
      <c r="A36" t="s">
        <v>23</v>
      </c>
      <c r="B36">
        <v>1</v>
      </c>
      <c r="C36">
        <v>3</v>
      </c>
      <c r="J36">
        <v>1</v>
      </c>
      <c r="S36">
        <v>2</v>
      </c>
      <c r="T36">
        <v>6</v>
      </c>
      <c r="U36">
        <v>0</v>
      </c>
      <c r="V36">
        <v>1</v>
      </c>
      <c r="W36">
        <f>S36/GCD(S36,T36)</f>
        <v>1</v>
      </c>
      <c r="X36">
        <f>T36/GCD(S36,T36)</f>
        <v>3</v>
      </c>
      <c r="Y36">
        <f>IF(V36 = 0, 0, U36/GCD(U36,V36))</f>
        <v>0</v>
      </c>
      <c r="Z36">
        <f t="shared" si="0"/>
        <v>1</v>
      </c>
    </row>
    <row r="37" spans="1:26" x14ac:dyDescent="0.25">
      <c r="A37" t="s">
        <v>23</v>
      </c>
      <c r="B37">
        <v>1</v>
      </c>
      <c r="C37">
        <v>1</v>
      </c>
      <c r="J37">
        <v>1</v>
      </c>
      <c r="S37">
        <v>3</v>
      </c>
      <c r="T37">
        <v>6</v>
      </c>
      <c r="U37">
        <v>0</v>
      </c>
      <c r="V37">
        <v>1</v>
      </c>
      <c r="W37">
        <f>S37/GCD(S37,T37)</f>
        <v>1</v>
      </c>
      <c r="X37">
        <f>T37/GCD(S37,T37)</f>
        <v>2</v>
      </c>
      <c r="Y37">
        <f>IF(V37 = 0, 0, U37/GCD(U37,V37))</f>
        <v>0</v>
      </c>
      <c r="Z37">
        <f t="shared" si="0"/>
        <v>1</v>
      </c>
    </row>
    <row r="38" spans="1:26" x14ac:dyDescent="0.25">
      <c r="A38" t="s">
        <v>23</v>
      </c>
      <c r="B38">
        <v>3</v>
      </c>
      <c r="C38">
        <v>1</v>
      </c>
      <c r="J38">
        <v>1</v>
      </c>
      <c r="S38">
        <v>4</v>
      </c>
      <c r="T38">
        <v>6</v>
      </c>
      <c r="U38">
        <v>0</v>
      </c>
      <c r="V38">
        <v>1</v>
      </c>
      <c r="W38">
        <f>S38/GCD(S38,T38)</f>
        <v>2</v>
      </c>
      <c r="X38">
        <f>T38/GCD(S38,T38)</f>
        <v>3</v>
      </c>
      <c r="Y38">
        <f>IF(V38 = 0, 0, U38/GCD(U38,V38))</f>
        <v>0</v>
      </c>
      <c r="Z38">
        <f t="shared" si="0"/>
        <v>1</v>
      </c>
    </row>
    <row r="40" spans="1:26" x14ac:dyDescent="0.25">
      <c r="A40" t="s">
        <v>24</v>
      </c>
      <c r="B40">
        <v>1</v>
      </c>
      <c r="C40">
        <v>3</v>
      </c>
      <c r="K40">
        <v>1</v>
      </c>
      <c r="S40">
        <v>2</v>
      </c>
      <c r="T40">
        <v>6</v>
      </c>
      <c r="U40">
        <v>0</v>
      </c>
      <c r="V40">
        <v>1</v>
      </c>
      <c r="W40">
        <f>S40/GCD(S40,T40)</f>
        <v>1</v>
      </c>
      <c r="X40">
        <f>T40/GCD(S40,T40)</f>
        <v>3</v>
      </c>
      <c r="Y40">
        <f>IF(V40 = 0, 0, U40/GCD(U40,V40))</f>
        <v>0</v>
      </c>
      <c r="Z40">
        <f t="shared" si="0"/>
        <v>1</v>
      </c>
    </row>
    <row r="41" spans="1:26" x14ac:dyDescent="0.25">
      <c r="A41" t="s">
        <v>24</v>
      </c>
      <c r="B41">
        <v>1</v>
      </c>
      <c r="C41">
        <v>1</v>
      </c>
      <c r="K41">
        <v>1</v>
      </c>
      <c r="S41">
        <v>3</v>
      </c>
      <c r="T41">
        <v>6</v>
      </c>
      <c r="U41">
        <v>0</v>
      </c>
      <c r="V41">
        <v>1</v>
      </c>
      <c r="W41">
        <f>S41/GCD(S41,T41)</f>
        <v>1</v>
      </c>
      <c r="X41">
        <f>T41/GCD(S41,T41)</f>
        <v>2</v>
      </c>
      <c r="Y41">
        <f>IF(V41 = 0, 0, U41/GCD(U41,V41))</f>
        <v>0</v>
      </c>
      <c r="Z41">
        <f t="shared" si="0"/>
        <v>1</v>
      </c>
    </row>
    <row r="42" spans="1:26" x14ac:dyDescent="0.25">
      <c r="A42" t="s">
        <v>24</v>
      </c>
      <c r="B42">
        <v>2</v>
      </c>
      <c r="C42">
        <v>2</v>
      </c>
      <c r="K42">
        <v>1</v>
      </c>
      <c r="S42">
        <v>3</v>
      </c>
      <c r="T42">
        <v>6</v>
      </c>
      <c r="U42">
        <v>0</v>
      </c>
      <c r="V42">
        <v>1</v>
      </c>
      <c r="W42">
        <f>S42/GCD(S42,T42)</f>
        <v>1</v>
      </c>
      <c r="X42">
        <f>T42/GCD(S42,T42)</f>
        <v>2</v>
      </c>
      <c r="Y42">
        <f>IF(V42 = 0, 0, U42/GCD(U42,V42))</f>
        <v>0</v>
      </c>
      <c r="Z42">
        <f t="shared" si="0"/>
        <v>1</v>
      </c>
    </row>
    <row r="43" spans="1:26" x14ac:dyDescent="0.25">
      <c r="A43" t="s">
        <v>24</v>
      </c>
      <c r="B43">
        <v>3</v>
      </c>
      <c r="C43">
        <v>1</v>
      </c>
      <c r="K43">
        <v>1</v>
      </c>
      <c r="S43">
        <v>4</v>
      </c>
      <c r="T43">
        <v>6</v>
      </c>
      <c r="U43">
        <v>0</v>
      </c>
      <c r="V43">
        <v>1</v>
      </c>
      <c r="W43">
        <f>S43/GCD(S43,T43)</f>
        <v>2</v>
      </c>
      <c r="X43">
        <f>T43/GCD(S43,T43)</f>
        <v>3</v>
      </c>
      <c r="Y43">
        <f>IF(V43 = 0, 0, U43/GCD(U43,V43))</f>
        <v>0</v>
      </c>
      <c r="Z43">
        <f t="shared" si="0"/>
        <v>1</v>
      </c>
    </row>
    <row r="45" spans="1:26" x14ac:dyDescent="0.25">
      <c r="A45" t="s">
        <v>25</v>
      </c>
      <c r="B45">
        <v>1</v>
      </c>
      <c r="C45">
        <v>3</v>
      </c>
      <c r="L45">
        <v>1</v>
      </c>
      <c r="S45">
        <v>3</v>
      </c>
      <c r="T45">
        <v>6</v>
      </c>
      <c r="U45">
        <v>0</v>
      </c>
      <c r="V45">
        <v>1</v>
      </c>
      <c r="W45">
        <f>S45/GCD(S45,T45)</f>
        <v>1</v>
      </c>
      <c r="X45">
        <f>T45/GCD(S45,T45)</f>
        <v>2</v>
      </c>
      <c r="Y45">
        <f>IF(V45 = 0, 0, U45/GCD(U45,V45))</f>
        <v>0</v>
      </c>
      <c r="Z45">
        <f t="shared" si="0"/>
        <v>1</v>
      </c>
    </row>
    <row r="46" spans="1:26" x14ac:dyDescent="0.25">
      <c r="A46" t="s">
        <v>25</v>
      </c>
      <c r="B46">
        <v>1</v>
      </c>
      <c r="C46">
        <v>1</v>
      </c>
      <c r="L46">
        <v>1</v>
      </c>
      <c r="S46">
        <v>3</v>
      </c>
      <c r="T46">
        <v>6</v>
      </c>
      <c r="U46">
        <v>0</v>
      </c>
      <c r="V46">
        <v>1</v>
      </c>
      <c r="W46">
        <f>S46/GCD(S46,T46)</f>
        <v>1</v>
      </c>
      <c r="X46">
        <f>T46/GCD(S46,T46)</f>
        <v>2</v>
      </c>
      <c r="Y46">
        <f>IF(V46 = 0, 0, U46/GCD(U46,V46))</f>
        <v>0</v>
      </c>
      <c r="Z46">
        <f t="shared" si="0"/>
        <v>1</v>
      </c>
    </row>
    <row r="47" spans="1:26" x14ac:dyDescent="0.25">
      <c r="A47" t="s">
        <v>25</v>
      </c>
      <c r="B47">
        <v>2</v>
      </c>
      <c r="C47">
        <v>2</v>
      </c>
      <c r="L47">
        <v>1</v>
      </c>
      <c r="S47">
        <v>4</v>
      </c>
      <c r="T47">
        <v>6</v>
      </c>
      <c r="U47">
        <v>0</v>
      </c>
      <c r="V47">
        <v>1</v>
      </c>
      <c r="W47">
        <f>S47/GCD(S47,T47)</f>
        <v>2</v>
      </c>
      <c r="X47">
        <f>T47/GCD(S47,T47)</f>
        <v>3</v>
      </c>
      <c r="Y47">
        <f>IF(V47 = 0, 0, U47/GCD(U47,V47))</f>
        <v>0</v>
      </c>
      <c r="Z47">
        <f t="shared" si="0"/>
        <v>1</v>
      </c>
    </row>
    <row r="48" spans="1:26" x14ac:dyDescent="0.25">
      <c r="A48" t="s">
        <v>25</v>
      </c>
      <c r="B48">
        <v>3</v>
      </c>
      <c r="C48">
        <v>1</v>
      </c>
      <c r="L48">
        <v>1</v>
      </c>
      <c r="S48">
        <v>5</v>
      </c>
      <c r="T48">
        <v>6</v>
      </c>
      <c r="U48">
        <v>0</v>
      </c>
      <c r="V48">
        <v>1</v>
      </c>
      <c r="W48">
        <f>S48/GCD(S48,T48)</f>
        <v>5</v>
      </c>
      <c r="X48">
        <f>T48/GCD(S48,T48)</f>
        <v>6</v>
      </c>
      <c r="Y48">
        <f>IF(V48 = 0, 0, U48/GCD(U48,V48))</f>
        <v>0</v>
      </c>
      <c r="Z48">
        <f t="shared" si="0"/>
        <v>1</v>
      </c>
    </row>
    <row r="50" spans="1:26" x14ac:dyDescent="0.25">
      <c r="A50" t="s">
        <v>26</v>
      </c>
      <c r="B50">
        <v>1</v>
      </c>
      <c r="C50">
        <v>3</v>
      </c>
      <c r="M50">
        <v>1</v>
      </c>
      <c r="S50">
        <v>3</v>
      </c>
      <c r="T50">
        <v>6</v>
      </c>
      <c r="U50">
        <v>0</v>
      </c>
      <c r="V50">
        <v>1</v>
      </c>
      <c r="W50">
        <f>S50/GCD(S50,T50)</f>
        <v>1</v>
      </c>
      <c r="X50">
        <f>T50/GCD(S50,T50)</f>
        <v>2</v>
      </c>
      <c r="Y50">
        <f>IF(V50 = 0, 0, U50/GCD(U50,V50))</f>
        <v>0</v>
      </c>
      <c r="Z50">
        <f t="shared" si="0"/>
        <v>1</v>
      </c>
    </row>
    <row r="51" spans="1:26" x14ac:dyDescent="0.25">
      <c r="A51" t="s">
        <v>26</v>
      </c>
      <c r="B51">
        <v>1</v>
      </c>
      <c r="C51">
        <v>1</v>
      </c>
      <c r="M51">
        <v>1</v>
      </c>
      <c r="S51">
        <v>4</v>
      </c>
      <c r="T51">
        <v>6</v>
      </c>
      <c r="U51">
        <v>0</v>
      </c>
      <c r="V51">
        <v>1</v>
      </c>
      <c r="W51">
        <f>S51/GCD(S51,T51)</f>
        <v>2</v>
      </c>
      <c r="X51">
        <f>T51/GCD(S51,T51)</f>
        <v>3</v>
      </c>
      <c r="Y51">
        <f>IF(V51 = 0, 0, U51/GCD(U51,V51))</f>
        <v>0</v>
      </c>
      <c r="Z51">
        <f t="shared" si="0"/>
        <v>1</v>
      </c>
    </row>
    <row r="52" spans="1:26" x14ac:dyDescent="0.25">
      <c r="A52" t="s">
        <v>26</v>
      </c>
      <c r="B52">
        <v>3</v>
      </c>
      <c r="C52">
        <v>1</v>
      </c>
      <c r="M52">
        <v>1</v>
      </c>
      <c r="S52">
        <v>5</v>
      </c>
      <c r="T52">
        <v>6</v>
      </c>
      <c r="U52">
        <v>0</v>
      </c>
      <c r="V52">
        <v>1</v>
      </c>
      <c r="W52">
        <f>S52/GCD(S52,T52)</f>
        <v>5</v>
      </c>
      <c r="X52">
        <f>T52/GCD(S52,T52)</f>
        <v>6</v>
      </c>
      <c r="Y52">
        <f>IF(V52 = 0, 0, U52/GCD(U52,V52))</f>
        <v>0</v>
      </c>
      <c r="Z52">
        <f t="shared" si="0"/>
        <v>1</v>
      </c>
    </row>
    <row r="54" spans="1:26" x14ac:dyDescent="0.25">
      <c r="A54" t="s">
        <v>27</v>
      </c>
      <c r="B54">
        <v>1</v>
      </c>
      <c r="C54">
        <v>3</v>
      </c>
      <c r="N54">
        <v>1</v>
      </c>
      <c r="S54">
        <v>1</v>
      </c>
      <c r="T54">
        <v>6</v>
      </c>
      <c r="U54">
        <v>0</v>
      </c>
      <c r="V54">
        <v>1</v>
      </c>
      <c r="W54">
        <f>S54/GCD(S54,T54)</f>
        <v>1</v>
      </c>
      <c r="X54">
        <f>T54/GCD(S54,T54)</f>
        <v>6</v>
      </c>
      <c r="Y54">
        <f>IF(V54 = 0, 0, U54/GCD(U54,V54))</f>
        <v>0</v>
      </c>
      <c r="Z54">
        <f t="shared" si="0"/>
        <v>1</v>
      </c>
    </row>
    <row r="55" spans="1:26" x14ac:dyDescent="0.25">
      <c r="A55" t="s">
        <v>27</v>
      </c>
      <c r="B55">
        <v>1</v>
      </c>
      <c r="C55">
        <v>1</v>
      </c>
      <c r="N55">
        <v>1</v>
      </c>
      <c r="S55">
        <v>2</v>
      </c>
      <c r="T55">
        <v>6</v>
      </c>
      <c r="U55">
        <v>0</v>
      </c>
      <c r="V55">
        <v>1</v>
      </c>
      <c r="W55">
        <f>S55/GCD(S55,T55)</f>
        <v>1</v>
      </c>
      <c r="X55">
        <f>T55/GCD(S55,T55)</f>
        <v>3</v>
      </c>
      <c r="Y55">
        <f>IF(V55 = 0, 0, U55/GCD(U55,V55))</f>
        <v>0</v>
      </c>
      <c r="Z55">
        <f t="shared" si="0"/>
        <v>1</v>
      </c>
    </row>
    <row r="56" spans="1:26" x14ac:dyDescent="0.25">
      <c r="A56" t="s">
        <v>27</v>
      </c>
      <c r="B56">
        <v>3</v>
      </c>
      <c r="C56">
        <v>1</v>
      </c>
      <c r="N56">
        <v>1</v>
      </c>
      <c r="S56">
        <v>4</v>
      </c>
      <c r="T56">
        <v>6</v>
      </c>
      <c r="U56">
        <v>0</v>
      </c>
      <c r="V56">
        <v>1</v>
      </c>
      <c r="W56">
        <f>S56/GCD(S56,T56)</f>
        <v>2</v>
      </c>
      <c r="X56">
        <f>T56/GCD(S56,T56)</f>
        <v>3</v>
      </c>
      <c r="Y56">
        <f>IF(V56 = 0, 0, U56/GCD(U56,V56))</f>
        <v>0</v>
      </c>
      <c r="Z56">
        <f t="shared" si="0"/>
        <v>1</v>
      </c>
    </row>
    <row r="58" spans="1:26" x14ac:dyDescent="0.25">
      <c r="A58" s="1" t="s">
        <v>28</v>
      </c>
      <c r="B58">
        <v>1</v>
      </c>
      <c r="C58">
        <v>3</v>
      </c>
      <c r="O58">
        <v>1</v>
      </c>
      <c r="S58">
        <v>5</v>
      </c>
      <c r="T58">
        <v>6</v>
      </c>
      <c r="U58">
        <v>0</v>
      </c>
      <c r="V58">
        <v>1</v>
      </c>
      <c r="W58">
        <f>S58/GCD(S58,T58)</f>
        <v>5</v>
      </c>
      <c r="X58">
        <f>T58/GCD(S58,T58)</f>
        <v>6</v>
      </c>
      <c r="Y58">
        <f>IF(V58 = 0, 0, U58/GCD(U58,V58))</f>
        <v>0</v>
      </c>
      <c r="Z58">
        <f t="shared" si="0"/>
        <v>1</v>
      </c>
    </row>
    <row r="59" spans="1:26" x14ac:dyDescent="0.25">
      <c r="A59" s="1" t="s">
        <v>31</v>
      </c>
      <c r="B59">
        <v>1</v>
      </c>
      <c r="C59">
        <v>1</v>
      </c>
      <c r="P59">
        <v>1</v>
      </c>
      <c r="S59">
        <v>4</v>
      </c>
      <c r="T59">
        <v>6</v>
      </c>
      <c r="U59">
        <v>0</v>
      </c>
      <c r="V59">
        <v>1</v>
      </c>
      <c r="W59">
        <f>S59/GCD(S59,T59)</f>
        <v>2</v>
      </c>
      <c r="X59">
        <f>T59/GCD(S59,T59)</f>
        <v>3</v>
      </c>
      <c r="Y59">
        <f>IF(V59 = 0, 0, U59/GCD(U59,V59))</f>
        <v>0</v>
      </c>
      <c r="Z59">
        <f t="shared" si="0"/>
        <v>1</v>
      </c>
    </row>
    <row r="60" spans="1:26" x14ac:dyDescent="0.25">
      <c r="A60" s="1" t="s">
        <v>30</v>
      </c>
      <c r="B60">
        <v>3</v>
      </c>
      <c r="C60">
        <v>1</v>
      </c>
      <c r="Q60">
        <v>1</v>
      </c>
      <c r="S60">
        <v>5</v>
      </c>
      <c r="T60">
        <v>6</v>
      </c>
      <c r="U60">
        <v>0</v>
      </c>
      <c r="V60">
        <v>1</v>
      </c>
      <c r="W60">
        <f>S60/GCD(S60,T60)</f>
        <v>5</v>
      </c>
      <c r="X60">
        <f>T60/GCD(S60,T60)</f>
        <v>6</v>
      </c>
      <c r="Y60">
        <f>IF(V60 = 0, 0, U60/GCD(U60,V60))</f>
        <v>0</v>
      </c>
      <c r="Z60">
        <f t="shared" si="0"/>
        <v>1</v>
      </c>
    </row>
    <row r="61" spans="1:26" x14ac:dyDescent="0.25">
      <c r="A61" s="1" t="s">
        <v>29</v>
      </c>
      <c r="B61">
        <v>3</v>
      </c>
      <c r="C61">
        <v>1</v>
      </c>
      <c r="R61">
        <v>1</v>
      </c>
      <c r="S61">
        <v>5</v>
      </c>
      <c r="T61">
        <v>6</v>
      </c>
      <c r="U61">
        <v>0</v>
      </c>
      <c r="V61">
        <v>1</v>
      </c>
      <c r="W61">
        <f>S61/GCD(S61,T61)</f>
        <v>5</v>
      </c>
      <c r="X61">
        <f>T61/GCD(S61,T61)</f>
        <v>6</v>
      </c>
      <c r="Y61">
        <f>IF(V61 = 0, 0, U61/GCD(U61,V61))</f>
        <v>0</v>
      </c>
      <c r="Z61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EF97-6AE9-4C34-9EC0-C36D26C9B83A}">
  <dimension ref="A1:Z61"/>
  <sheetViews>
    <sheetView tabSelected="1" zoomScale="70" zoomScaleNormal="70" workbookViewId="0">
      <selection activeCell="K46" sqref="K46"/>
    </sheetView>
  </sheetViews>
  <sheetFormatPr defaultRowHeight="15" x14ac:dyDescent="0.25"/>
  <cols>
    <col min="1" max="1" width="18.42578125" customWidth="1"/>
    <col min="2" max="26" width="13" customWidth="1"/>
  </cols>
  <sheetData>
    <row r="1" spans="1:26" s="1" customFormat="1" ht="60" x14ac:dyDescent="0.25">
      <c r="A1" s="1" t="s">
        <v>10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8</v>
      </c>
      <c r="T1" s="1" t="s">
        <v>7</v>
      </c>
      <c r="U1" s="1" t="s">
        <v>52</v>
      </c>
      <c r="V1" s="1" t="s">
        <v>53</v>
      </c>
      <c r="W1" s="1" t="s">
        <v>15</v>
      </c>
      <c r="X1" s="1" t="s">
        <v>16</v>
      </c>
      <c r="Y1" s="1" t="s">
        <v>54</v>
      </c>
      <c r="Z1" s="1" t="s">
        <v>55</v>
      </c>
    </row>
    <row r="2" spans="1:26" s="1" customFormat="1" x14ac:dyDescent="0.25">
      <c r="A2" s="1" t="s">
        <v>11</v>
      </c>
      <c r="B2">
        <v>1</v>
      </c>
      <c r="C2">
        <v>3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>
        <v>1</v>
      </c>
      <c r="T2">
        <v>6</v>
      </c>
      <c r="U2">
        <v>0</v>
      </c>
      <c r="V2">
        <v>1</v>
      </c>
      <c r="W2">
        <f>S2/GCD(S2,T2)</f>
        <v>1</v>
      </c>
      <c r="X2">
        <f>T2/GCD(S2,T2)</f>
        <v>6</v>
      </c>
      <c r="Y2">
        <f>IF(V2 = 0, 0, U2/GCD(U2,V2))</f>
        <v>0</v>
      </c>
      <c r="Z2">
        <f>IF(V2 = 0, 0, V2/GCD(U2,V2))</f>
        <v>1</v>
      </c>
    </row>
    <row r="3" spans="1:26" s="1" customFormat="1" x14ac:dyDescent="0.25">
      <c r="A3" s="1" t="s">
        <v>11</v>
      </c>
      <c r="B3">
        <v>1</v>
      </c>
      <c r="C3">
        <v>1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>
        <v>3</v>
      </c>
      <c r="T3">
        <v>6</v>
      </c>
      <c r="U3">
        <v>0</v>
      </c>
      <c r="V3">
        <v>1</v>
      </c>
      <c r="W3">
        <f>S3/GCD(S3,T3)</f>
        <v>1</v>
      </c>
      <c r="X3">
        <f>T3/GCD(S3,T3)</f>
        <v>2</v>
      </c>
      <c r="Y3">
        <f>IF(V3 = 0, 0, U3/GCD(U3,V3))</f>
        <v>0</v>
      </c>
      <c r="Z3">
        <f t="shared" ref="Z3:Z61" si="0">IF(V3 = 0, 0, V3/GCD(U3,V3))</f>
        <v>1</v>
      </c>
    </row>
    <row r="4" spans="1:26" s="1" customFormat="1" x14ac:dyDescent="0.25">
      <c r="A4" s="1" t="s">
        <v>11</v>
      </c>
      <c r="B4">
        <v>3</v>
      </c>
      <c r="C4">
        <v>1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>
        <v>5</v>
      </c>
      <c r="T4">
        <v>6</v>
      </c>
      <c r="U4">
        <v>0</v>
      </c>
      <c r="V4">
        <v>1</v>
      </c>
      <c r="W4">
        <f>S4/GCD(S4,T4)</f>
        <v>5</v>
      </c>
      <c r="X4">
        <f>T4/GCD(S4,T4)</f>
        <v>6</v>
      </c>
      <c r="Y4">
        <f>IF(V4 = 0, 0, U4/GCD(U4,V4))</f>
        <v>0</v>
      </c>
      <c r="Z4">
        <f t="shared" si="0"/>
        <v>1</v>
      </c>
    </row>
    <row r="5" spans="1:26" s="1" customFormat="1" x14ac:dyDescent="0.25">
      <c r="Z5"/>
    </row>
    <row r="6" spans="1:26" x14ac:dyDescent="0.25">
      <c r="A6" t="s">
        <v>11</v>
      </c>
      <c r="B6">
        <v>3</v>
      </c>
      <c r="C6">
        <v>7</v>
      </c>
      <c r="S6">
        <v>1</v>
      </c>
      <c r="T6">
        <v>6</v>
      </c>
      <c r="U6">
        <v>0</v>
      </c>
      <c r="V6">
        <v>1</v>
      </c>
      <c r="W6">
        <f>S6/GCD(S6,T6)</f>
        <v>1</v>
      </c>
      <c r="X6">
        <f>T6/GCD(S6,T6)</f>
        <v>6</v>
      </c>
      <c r="Y6">
        <f t="shared" ref="Y6:Y30" si="1">IF(V6 = 0, 0, U6/GCD(U6,V6))</f>
        <v>0</v>
      </c>
      <c r="Z6">
        <f t="shared" si="0"/>
        <v>1</v>
      </c>
    </row>
    <row r="7" spans="1:26" x14ac:dyDescent="0.25">
      <c r="A7" t="s">
        <v>11</v>
      </c>
      <c r="B7">
        <v>4</v>
      </c>
      <c r="C7">
        <v>7</v>
      </c>
      <c r="S7">
        <v>1</v>
      </c>
      <c r="T7">
        <v>6</v>
      </c>
      <c r="U7">
        <v>0</v>
      </c>
      <c r="V7">
        <v>1</v>
      </c>
      <c r="W7">
        <f>S7/GCD(S7,T7)</f>
        <v>1</v>
      </c>
      <c r="X7">
        <f>T7/GCD(S7,T7)</f>
        <v>6</v>
      </c>
      <c r="Y7">
        <f t="shared" si="1"/>
        <v>0</v>
      </c>
      <c r="Z7">
        <f t="shared" si="0"/>
        <v>1</v>
      </c>
    </row>
    <row r="8" spans="1:26" x14ac:dyDescent="0.25">
      <c r="A8" t="s">
        <v>11</v>
      </c>
      <c r="B8">
        <v>7</v>
      </c>
      <c r="C8">
        <v>7</v>
      </c>
      <c r="S8">
        <v>3</v>
      </c>
      <c r="T8">
        <v>6</v>
      </c>
      <c r="U8">
        <v>0</v>
      </c>
      <c r="V8">
        <v>1</v>
      </c>
      <c r="W8">
        <f>S8/GCD(S8,T8)</f>
        <v>1</v>
      </c>
      <c r="X8">
        <f>T8/GCD(S8,T8)</f>
        <v>2</v>
      </c>
      <c r="Y8">
        <f t="shared" si="1"/>
        <v>0</v>
      </c>
      <c r="Z8">
        <f t="shared" si="0"/>
        <v>1</v>
      </c>
    </row>
    <row r="9" spans="1:26" x14ac:dyDescent="0.25">
      <c r="A9" t="s">
        <v>11</v>
      </c>
      <c r="B9">
        <v>8</v>
      </c>
      <c r="C9">
        <v>7</v>
      </c>
      <c r="S9">
        <v>4</v>
      </c>
      <c r="T9">
        <v>6</v>
      </c>
      <c r="U9">
        <v>0</v>
      </c>
      <c r="V9">
        <v>1</v>
      </c>
      <c r="W9">
        <f>S9/GCD(S9,T9)</f>
        <v>2</v>
      </c>
      <c r="X9">
        <f>T9/GCD(S9,T9)</f>
        <v>3</v>
      </c>
      <c r="Y9">
        <f t="shared" si="1"/>
        <v>0</v>
      </c>
      <c r="Z9">
        <f t="shared" si="0"/>
        <v>1</v>
      </c>
    </row>
    <row r="10" spans="1:26" x14ac:dyDescent="0.25">
      <c r="A10" t="s">
        <v>11</v>
      </c>
      <c r="B10">
        <v>5</v>
      </c>
      <c r="C10">
        <v>2</v>
      </c>
      <c r="S10">
        <v>5</v>
      </c>
      <c r="T10">
        <v>6</v>
      </c>
      <c r="U10">
        <v>0</v>
      </c>
      <c r="V10">
        <v>1</v>
      </c>
      <c r="W10">
        <f>S10/GCD(S10,T10)</f>
        <v>5</v>
      </c>
      <c r="X10">
        <f>T10/GCD(S10,T10)</f>
        <v>6</v>
      </c>
      <c r="Y10">
        <f t="shared" si="1"/>
        <v>0</v>
      </c>
      <c r="Z10">
        <f t="shared" si="0"/>
        <v>1</v>
      </c>
    </row>
    <row r="12" spans="1:26" x14ac:dyDescent="0.25">
      <c r="A12" t="s">
        <v>12</v>
      </c>
      <c r="B12">
        <v>1</v>
      </c>
      <c r="C12">
        <v>3</v>
      </c>
      <c r="D12">
        <v>1</v>
      </c>
      <c r="S12">
        <v>0</v>
      </c>
      <c r="T12">
        <v>6</v>
      </c>
      <c r="U12">
        <v>1</v>
      </c>
      <c r="V12">
        <v>6</v>
      </c>
      <c r="W12">
        <f>S12/GCD(S12,T12)</f>
        <v>0</v>
      </c>
      <c r="X12">
        <f>T12/GCD(S12,T12)</f>
        <v>1</v>
      </c>
      <c r="Y12">
        <f t="shared" si="1"/>
        <v>1</v>
      </c>
      <c r="Z12">
        <f t="shared" si="0"/>
        <v>6</v>
      </c>
    </row>
    <row r="13" spans="1:26" x14ac:dyDescent="0.25">
      <c r="A13" t="s">
        <v>12</v>
      </c>
      <c r="B13">
        <v>1</v>
      </c>
      <c r="C13">
        <v>1</v>
      </c>
      <c r="D13">
        <v>1</v>
      </c>
      <c r="S13">
        <v>2</v>
      </c>
      <c r="T13">
        <v>6</v>
      </c>
      <c r="U13">
        <v>1</v>
      </c>
      <c r="V13">
        <v>6</v>
      </c>
      <c r="W13">
        <f>S13/GCD(S13,T13)</f>
        <v>1</v>
      </c>
      <c r="X13">
        <f>T13/GCD(S13,T13)</f>
        <v>3</v>
      </c>
      <c r="Y13">
        <f t="shared" si="1"/>
        <v>1</v>
      </c>
      <c r="Z13">
        <f t="shared" si="0"/>
        <v>6</v>
      </c>
    </row>
    <row r="14" spans="1:26" x14ac:dyDescent="0.25">
      <c r="A14" t="s">
        <v>12</v>
      </c>
      <c r="B14">
        <v>3</v>
      </c>
      <c r="C14">
        <v>1</v>
      </c>
      <c r="D14">
        <v>1</v>
      </c>
      <c r="S14">
        <v>4</v>
      </c>
      <c r="T14">
        <v>6</v>
      </c>
      <c r="U14">
        <v>1</v>
      </c>
      <c r="V14">
        <v>6</v>
      </c>
      <c r="W14">
        <f>S14/GCD(S14,T14)</f>
        <v>2</v>
      </c>
      <c r="X14">
        <f>T14/GCD(S14,T14)</f>
        <v>3</v>
      </c>
      <c r="Y14">
        <f t="shared" si="1"/>
        <v>1</v>
      </c>
      <c r="Z14">
        <f t="shared" si="0"/>
        <v>6</v>
      </c>
    </row>
    <row r="16" spans="1:26" x14ac:dyDescent="0.25">
      <c r="A16" t="s">
        <v>3</v>
      </c>
      <c r="B16">
        <v>1</v>
      </c>
      <c r="C16">
        <v>3</v>
      </c>
      <c r="E16">
        <v>1</v>
      </c>
      <c r="S16">
        <f>6+24*1/6</f>
        <v>10</v>
      </c>
      <c r="T16">
        <v>36</v>
      </c>
      <c r="U16">
        <v>0</v>
      </c>
      <c r="V16">
        <v>1</v>
      </c>
      <c r="W16">
        <f>S16/GCD(S16,T16)</f>
        <v>5</v>
      </c>
      <c r="X16">
        <f>T16/GCD(S16,T16)</f>
        <v>18</v>
      </c>
      <c r="Y16">
        <f t="shared" si="1"/>
        <v>0</v>
      </c>
      <c r="Z16">
        <f t="shared" si="0"/>
        <v>1</v>
      </c>
    </row>
    <row r="17" spans="1:26" x14ac:dyDescent="0.25">
      <c r="A17" t="s">
        <v>3</v>
      </c>
      <c r="B17">
        <v>1</v>
      </c>
      <c r="C17">
        <v>1</v>
      </c>
      <c r="E17">
        <v>1</v>
      </c>
      <c r="S17">
        <f>18+18*3/6</f>
        <v>27</v>
      </c>
      <c r="T17">
        <v>36</v>
      </c>
      <c r="U17">
        <v>0</v>
      </c>
      <c r="V17">
        <v>1</v>
      </c>
      <c r="W17">
        <f>S17/GCD(S17,T17)</f>
        <v>3</v>
      </c>
      <c r="X17">
        <f>T17/GCD(S17,T17)</f>
        <v>4</v>
      </c>
      <c r="Y17">
        <f t="shared" si="1"/>
        <v>0</v>
      </c>
      <c r="Z17">
        <f t="shared" si="0"/>
        <v>1</v>
      </c>
    </row>
    <row r="18" spans="1:26" x14ac:dyDescent="0.25">
      <c r="A18" t="s">
        <v>3</v>
      </c>
      <c r="B18">
        <v>3</v>
      </c>
      <c r="C18">
        <v>1</v>
      </c>
      <c r="E18">
        <v>1</v>
      </c>
      <c r="S18">
        <f>30+6*5/6</f>
        <v>35</v>
      </c>
      <c r="T18">
        <v>36</v>
      </c>
      <c r="U18">
        <v>0</v>
      </c>
      <c r="V18">
        <v>1</v>
      </c>
      <c r="W18">
        <f>S18/GCD(S18,T18)</f>
        <v>35</v>
      </c>
      <c r="X18">
        <f>T18/GCD(S18,T18)</f>
        <v>36</v>
      </c>
      <c r="Y18">
        <f t="shared" si="1"/>
        <v>0</v>
      </c>
      <c r="Z18">
        <f t="shared" si="0"/>
        <v>1</v>
      </c>
    </row>
    <row r="20" spans="1:26" x14ac:dyDescent="0.25">
      <c r="A20" t="s">
        <v>4</v>
      </c>
      <c r="B20">
        <v>1</v>
      </c>
      <c r="C20">
        <v>3</v>
      </c>
      <c r="F20">
        <v>1</v>
      </c>
      <c r="S20">
        <v>1</v>
      </c>
      <c r="T20">
        <v>36</v>
      </c>
      <c r="U20">
        <v>0</v>
      </c>
      <c r="V20">
        <v>1</v>
      </c>
      <c r="W20">
        <f>S20/GCD(S20,T20)</f>
        <v>1</v>
      </c>
      <c r="X20">
        <f>T20/GCD(S20,T20)</f>
        <v>36</v>
      </c>
      <c r="Y20">
        <f t="shared" si="1"/>
        <v>0</v>
      </c>
      <c r="Z20">
        <f t="shared" si="0"/>
        <v>1</v>
      </c>
    </row>
    <row r="21" spans="1:26" x14ac:dyDescent="0.25">
      <c r="A21" t="s">
        <v>4</v>
      </c>
      <c r="B21">
        <v>1</v>
      </c>
      <c r="C21">
        <v>1</v>
      </c>
      <c r="F21">
        <v>1</v>
      </c>
      <c r="S21">
        <v>9</v>
      </c>
      <c r="T21">
        <v>36</v>
      </c>
      <c r="U21">
        <v>0</v>
      </c>
      <c r="V21">
        <v>1</v>
      </c>
      <c r="W21">
        <f>S21/GCD(S21,T21)</f>
        <v>1</v>
      </c>
      <c r="X21">
        <f>T21/GCD(S21,T21)</f>
        <v>4</v>
      </c>
      <c r="Y21">
        <f t="shared" si="1"/>
        <v>0</v>
      </c>
      <c r="Z21">
        <f t="shared" si="0"/>
        <v>1</v>
      </c>
    </row>
    <row r="22" spans="1:26" x14ac:dyDescent="0.25">
      <c r="A22" t="s">
        <v>4</v>
      </c>
      <c r="B22">
        <v>3</v>
      </c>
      <c r="C22">
        <v>1</v>
      </c>
      <c r="F22">
        <v>1</v>
      </c>
      <c r="S22">
        <v>25</v>
      </c>
      <c r="T22">
        <v>36</v>
      </c>
      <c r="U22">
        <v>0</v>
      </c>
      <c r="V22">
        <v>1</v>
      </c>
      <c r="W22">
        <f>S22/GCD(S22,T22)</f>
        <v>25</v>
      </c>
      <c r="X22">
        <f>T22/GCD(S22,T22)</f>
        <v>36</v>
      </c>
      <c r="Y22">
        <f t="shared" si="1"/>
        <v>0</v>
      </c>
      <c r="Z22">
        <f t="shared" si="0"/>
        <v>1</v>
      </c>
    </row>
    <row r="24" spans="1:26" x14ac:dyDescent="0.25">
      <c r="A24" t="s">
        <v>14</v>
      </c>
      <c r="B24">
        <v>1</v>
      </c>
      <c r="C24">
        <v>3</v>
      </c>
      <c r="G24">
        <v>1</v>
      </c>
      <c r="S24">
        <f>12 + 6*2/6</f>
        <v>14</v>
      </c>
      <c r="T24">
        <v>36</v>
      </c>
      <c r="U24">
        <v>0</v>
      </c>
      <c r="V24">
        <v>1</v>
      </c>
      <c r="W24">
        <f>S24/GCD(S24,T24)</f>
        <v>7</v>
      </c>
      <c r="X24">
        <f>T24/GCD(S24,T24)</f>
        <v>18</v>
      </c>
      <c r="Y24">
        <f t="shared" si="1"/>
        <v>0</v>
      </c>
      <c r="Z24">
        <f t="shared" si="0"/>
        <v>1</v>
      </c>
    </row>
    <row r="25" spans="1:26" x14ac:dyDescent="0.25">
      <c r="A25" t="s">
        <v>36</v>
      </c>
      <c r="B25">
        <v>1</v>
      </c>
      <c r="C25">
        <v>1</v>
      </c>
      <c r="G25">
        <v>1</v>
      </c>
      <c r="S25">
        <f xml:space="preserve"> 18 + 6*3/6</f>
        <v>21</v>
      </c>
      <c r="T25">
        <v>36</v>
      </c>
      <c r="U25">
        <v>0</v>
      </c>
      <c r="V25">
        <v>1</v>
      </c>
      <c r="W25">
        <f>S25/GCD(S25,T25)</f>
        <v>7</v>
      </c>
      <c r="X25">
        <f>T25/GCD(S25,T25)</f>
        <v>12</v>
      </c>
      <c r="Y25">
        <f t="shared" si="1"/>
        <v>0</v>
      </c>
      <c r="Z25">
        <f t="shared" si="0"/>
        <v>1</v>
      </c>
    </row>
    <row r="26" spans="1:26" x14ac:dyDescent="0.25">
      <c r="A26" t="s">
        <v>14</v>
      </c>
      <c r="B26">
        <v>3</v>
      </c>
      <c r="C26">
        <v>1</v>
      </c>
      <c r="G26">
        <v>1</v>
      </c>
      <c r="S26">
        <f xml:space="preserve"> 30 + 6*5/6</f>
        <v>35</v>
      </c>
      <c r="T26">
        <v>36</v>
      </c>
      <c r="U26">
        <v>0</v>
      </c>
      <c r="V26">
        <v>1</v>
      </c>
      <c r="W26">
        <f>S26/GCD(S26,T26)</f>
        <v>35</v>
      </c>
      <c r="X26">
        <f>T26/GCD(S26,T26)</f>
        <v>36</v>
      </c>
      <c r="Y26">
        <f t="shared" si="1"/>
        <v>0</v>
      </c>
      <c r="Z26">
        <f t="shared" si="0"/>
        <v>1</v>
      </c>
    </row>
    <row r="28" spans="1:26" x14ac:dyDescent="0.25">
      <c r="A28" t="s">
        <v>13</v>
      </c>
      <c r="B28">
        <v>1</v>
      </c>
      <c r="C28">
        <v>3</v>
      </c>
      <c r="H28">
        <v>1</v>
      </c>
      <c r="S28">
        <f>12 + 6*2/6</f>
        <v>14</v>
      </c>
      <c r="T28">
        <v>36</v>
      </c>
      <c r="U28">
        <v>0</v>
      </c>
      <c r="V28">
        <v>1</v>
      </c>
      <c r="W28">
        <f>S28/GCD(S28,T28)</f>
        <v>7</v>
      </c>
      <c r="X28">
        <f>T28/GCD(S28,T28)</f>
        <v>18</v>
      </c>
      <c r="Y28">
        <f t="shared" si="1"/>
        <v>0</v>
      </c>
      <c r="Z28">
        <f t="shared" si="0"/>
        <v>1</v>
      </c>
    </row>
    <row r="29" spans="1:26" x14ac:dyDescent="0.25">
      <c r="A29" t="s">
        <v>13</v>
      </c>
      <c r="B29">
        <v>1</v>
      </c>
      <c r="C29">
        <v>1</v>
      </c>
      <c r="H29">
        <v>1</v>
      </c>
      <c r="S29">
        <f>18 + 6*3/6</f>
        <v>21</v>
      </c>
      <c r="T29">
        <v>36</v>
      </c>
      <c r="U29">
        <v>0</v>
      </c>
      <c r="V29">
        <v>1</v>
      </c>
      <c r="W29">
        <f>S29/GCD(S29,T29)</f>
        <v>7</v>
      </c>
      <c r="X29">
        <f>T29/GCD(S29,T29)</f>
        <v>12</v>
      </c>
      <c r="Y29">
        <f t="shared" si="1"/>
        <v>0</v>
      </c>
      <c r="Z29">
        <f t="shared" si="0"/>
        <v>1</v>
      </c>
    </row>
    <row r="30" spans="1:26" x14ac:dyDescent="0.25">
      <c r="A30" t="s">
        <v>13</v>
      </c>
      <c r="B30">
        <v>3</v>
      </c>
      <c r="C30">
        <v>1</v>
      </c>
      <c r="H30">
        <v>1</v>
      </c>
      <c r="S30">
        <f>30 + 6*5/6</f>
        <v>35</v>
      </c>
      <c r="T30">
        <v>36</v>
      </c>
      <c r="U30">
        <v>0</v>
      </c>
      <c r="V30">
        <v>1</v>
      </c>
      <c r="W30">
        <f>S30/GCD(S30,T30)</f>
        <v>35</v>
      </c>
      <c r="X30">
        <f>T30/GCD(S30,T30)</f>
        <v>36</v>
      </c>
      <c r="Y30">
        <f t="shared" si="1"/>
        <v>0</v>
      </c>
      <c r="Z30">
        <f t="shared" si="0"/>
        <v>1</v>
      </c>
    </row>
    <row r="32" spans="1:26" x14ac:dyDescent="0.25">
      <c r="A32" t="s">
        <v>22</v>
      </c>
      <c r="B32">
        <v>1</v>
      </c>
      <c r="C32">
        <v>3</v>
      </c>
      <c r="I32">
        <v>1</v>
      </c>
      <c r="S32">
        <v>3</v>
      </c>
      <c r="T32">
        <v>6</v>
      </c>
      <c r="U32">
        <v>0</v>
      </c>
      <c r="V32">
        <v>1</v>
      </c>
      <c r="W32">
        <f>S32/GCD(S32,T32)</f>
        <v>1</v>
      </c>
      <c r="X32">
        <f>T32/GCD(S32,T32)</f>
        <v>2</v>
      </c>
      <c r="Y32">
        <f>IF(V32 = 0, 0, U32/GCD(U32,V32))</f>
        <v>0</v>
      </c>
      <c r="Z32">
        <f t="shared" si="0"/>
        <v>1</v>
      </c>
    </row>
    <row r="33" spans="1:26" x14ac:dyDescent="0.25">
      <c r="A33" t="s">
        <v>22</v>
      </c>
      <c r="B33">
        <v>1</v>
      </c>
      <c r="C33">
        <v>1</v>
      </c>
      <c r="I33">
        <v>1</v>
      </c>
      <c r="S33">
        <v>4</v>
      </c>
      <c r="T33">
        <v>6</v>
      </c>
      <c r="U33">
        <v>0</v>
      </c>
      <c r="V33">
        <v>1</v>
      </c>
      <c r="W33">
        <f>S33/GCD(S33,T33)</f>
        <v>2</v>
      </c>
      <c r="X33">
        <f>T33/GCD(S33,T33)</f>
        <v>3</v>
      </c>
      <c r="Y33">
        <f>IF(V33 = 0, 0, U33/GCD(U33,V33))</f>
        <v>0</v>
      </c>
      <c r="Z33">
        <f t="shared" si="0"/>
        <v>1</v>
      </c>
    </row>
    <row r="34" spans="1:26" x14ac:dyDescent="0.25">
      <c r="A34" t="s">
        <v>22</v>
      </c>
      <c r="B34">
        <v>3</v>
      </c>
      <c r="C34">
        <v>1</v>
      </c>
      <c r="I34">
        <v>1</v>
      </c>
      <c r="S34">
        <v>5</v>
      </c>
      <c r="T34">
        <v>6</v>
      </c>
      <c r="U34">
        <v>0</v>
      </c>
      <c r="V34">
        <v>1</v>
      </c>
      <c r="W34">
        <f>S34/GCD(S34,T34)</f>
        <v>5</v>
      </c>
      <c r="X34">
        <f>T34/GCD(S34,T34)</f>
        <v>6</v>
      </c>
      <c r="Y34">
        <f>IF(V34 = 0, 0, U34/GCD(U34,V34))</f>
        <v>0</v>
      </c>
      <c r="Z34">
        <f t="shared" si="0"/>
        <v>1</v>
      </c>
    </row>
    <row r="36" spans="1:26" x14ac:dyDescent="0.25">
      <c r="A36" t="s">
        <v>23</v>
      </c>
      <c r="B36">
        <v>1</v>
      </c>
      <c r="C36">
        <v>3</v>
      </c>
      <c r="J36">
        <v>1</v>
      </c>
      <c r="S36">
        <v>2</v>
      </c>
      <c r="T36">
        <v>6</v>
      </c>
      <c r="U36">
        <v>0</v>
      </c>
      <c r="V36">
        <v>1</v>
      </c>
      <c r="W36">
        <f>S36/GCD(S36,T36)</f>
        <v>1</v>
      </c>
      <c r="X36">
        <f>T36/GCD(S36,T36)</f>
        <v>3</v>
      </c>
      <c r="Y36">
        <f>IF(V36 = 0, 0, U36/GCD(U36,V36))</f>
        <v>0</v>
      </c>
      <c r="Z36">
        <f t="shared" si="0"/>
        <v>1</v>
      </c>
    </row>
    <row r="37" spans="1:26" x14ac:dyDescent="0.25">
      <c r="A37" t="s">
        <v>23</v>
      </c>
      <c r="B37">
        <v>1</v>
      </c>
      <c r="C37">
        <v>1</v>
      </c>
      <c r="J37">
        <v>1</v>
      </c>
      <c r="S37">
        <v>3</v>
      </c>
      <c r="T37">
        <v>6</v>
      </c>
      <c r="U37">
        <v>0</v>
      </c>
      <c r="V37">
        <v>1</v>
      </c>
      <c r="W37">
        <f>S37/GCD(S37,T37)</f>
        <v>1</v>
      </c>
      <c r="X37">
        <f>T37/GCD(S37,T37)</f>
        <v>2</v>
      </c>
      <c r="Y37">
        <f>IF(V37 = 0, 0, U37/GCD(U37,V37))</f>
        <v>0</v>
      </c>
      <c r="Z37">
        <f t="shared" si="0"/>
        <v>1</v>
      </c>
    </row>
    <row r="38" spans="1:26" x14ac:dyDescent="0.25">
      <c r="A38" t="s">
        <v>23</v>
      </c>
      <c r="B38">
        <v>3</v>
      </c>
      <c r="C38">
        <v>1</v>
      </c>
      <c r="J38">
        <v>1</v>
      </c>
      <c r="S38">
        <v>4</v>
      </c>
      <c r="T38">
        <v>6</v>
      </c>
      <c r="U38">
        <v>0</v>
      </c>
      <c r="V38">
        <v>1</v>
      </c>
      <c r="W38">
        <f>S38/GCD(S38,T38)</f>
        <v>2</v>
      </c>
      <c r="X38">
        <f>T38/GCD(S38,T38)</f>
        <v>3</v>
      </c>
      <c r="Y38">
        <f>IF(V38 = 0, 0, U38/GCD(U38,V38))</f>
        <v>0</v>
      </c>
      <c r="Z38">
        <f t="shared" si="0"/>
        <v>1</v>
      </c>
    </row>
    <row r="40" spans="1:26" x14ac:dyDescent="0.25">
      <c r="A40" t="s">
        <v>24</v>
      </c>
      <c r="B40">
        <v>1</v>
      </c>
      <c r="C40">
        <v>3</v>
      </c>
      <c r="K40">
        <v>1</v>
      </c>
      <c r="S40">
        <v>2</v>
      </c>
      <c r="T40">
        <v>6</v>
      </c>
      <c r="U40">
        <v>0</v>
      </c>
      <c r="V40">
        <v>1</v>
      </c>
      <c r="W40">
        <f>S40/GCD(S40,T40)</f>
        <v>1</v>
      </c>
      <c r="X40">
        <f>T40/GCD(S40,T40)</f>
        <v>3</v>
      </c>
      <c r="Y40">
        <f>IF(V40 = 0, 0, U40/GCD(U40,V40))</f>
        <v>0</v>
      </c>
      <c r="Z40">
        <f t="shared" si="0"/>
        <v>1</v>
      </c>
    </row>
    <row r="41" spans="1:26" x14ac:dyDescent="0.25">
      <c r="A41" t="s">
        <v>24</v>
      </c>
      <c r="B41">
        <v>1</v>
      </c>
      <c r="C41">
        <v>1</v>
      </c>
      <c r="K41">
        <v>1</v>
      </c>
      <c r="S41">
        <v>3</v>
      </c>
      <c r="T41">
        <v>6</v>
      </c>
      <c r="U41">
        <v>0</v>
      </c>
      <c r="V41">
        <v>1</v>
      </c>
      <c r="W41">
        <f>S41/GCD(S41,T41)</f>
        <v>1</v>
      </c>
      <c r="X41">
        <f>T41/GCD(S41,T41)</f>
        <v>2</v>
      </c>
      <c r="Y41">
        <f>IF(V41 = 0, 0, U41/GCD(U41,V41))</f>
        <v>0</v>
      </c>
      <c r="Z41">
        <f t="shared" si="0"/>
        <v>1</v>
      </c>
    </row>
    <row r="42" spans="1:26" x14ac:dyDescent="0.25">
      <c r="A42" t="s">
        <v>24</v>
      </c>
      <c r="B42">
        <v>2</v>
      </c>
      <c r="C42">
        <v>2</v>
      </c>
      <c r="K42">
        <v>1</v>
      </c>
      <c r="S42">
        <v>3</v>
      </c>
      <c r="T42">
        <v>6</v>
      </c>
      <c r="U42">
        <v>0</v>
      </c>
      <c r="V42">
        <v>1</v>
      </c>
      <c r="W42">
        <f>S42/GCD(S42,T42)</f>
        <v>1</v>
      </c>
      <c r="X42">
        <f>T42/GCD(S42,T42)</f>
        <v>2</v>
      </c>
      <c r="Y42">
        <f>IF(V42 = 0, 0, U42/GCD(U42,V42))</f>
        <v>0</v>
      </c>
      <c r="Z42">
        <f t="shared" si="0"/>
        <v>1</v>
      </c>
    </row>
    <row r="43" spans="1:26" x14ac:dyDescent="0.25">
      <c r="A43" t="s">
        <v>24</v>
      </c>
      <c r="B43">
        <v>3</v>
      </c>
      <c r="C43">
        <v>1</v>
      </c>
      <c r="K43">
        <v>1</v>
      </c>
      <c r="S43">
        <v>4</v>
      </c>
      <c r="T43">
        <v>6</v>
      </c>
      <c r="U43">
        <v>0</v>
      </c>
      <c r="V43">
        <v>1</v>
      </c>
      <c r="W43">
        <f>S43/GCD(S43,T43)</f>
        <v>2</v>
      </c>
      <c r="X43">
        <f>T43/GCD(S43,T43)</f>
        <v>3</v>
      </c>
      <c r="Y43">
        <f>IF(V43 = 0, 0, U43/GCD(U43,V43))</f>
        <v>0</v>
      </c>
      <c r="Z43">
        <f t="shared" si="0"/>
        <v>1</v>
      </c>
    </row>
    <row r="45" spans="1:26" x14ac:dyDescent="0.25">
      <c r="A45" t="s">
        <v>25</v>
      </c>
      <c r="B45">
        <v>1</v>
      </c>
      <c r="C45">
        <v>3</v>
      </c>
      <c r="L45">
        <v>1</v>
      </c>
      <c r="S45">
        <v>3</v>
      </c>
      <c r="T45">
        <v>6</v>
      </c>
      <c r="U45">
        <v>0</v>
      </c>
      <c r="V45">
        <v>1</v>
      </c>
      <c r="W45">
        <f>S45/GCD(S45,T45)</f>
        <v>1</v>
      </c>
      <c r="X45">
        <f>T45/GCD(S45,T45)</f>
        <v>2</v>
      </c>
      <c r="Y45">
        <f>IF(V45 = 0, 0, U45/GCD(U45,V45))</f>
        <v>0</v>
      </c>
      <c r="Z45">
        <f t="shared" si="0"/>
        <v>1</v>
      </c>
    </row>
    <row r="46" spans="1:26" x14ac:dyDescent="0.25">
      <c r="A46" t="s">
        <v>25</v>
      </c>
      <c r="B46">
        <v>1</v>
      </c>
      <c r="C46">
        <v>1</v>
      </c>
      <c r="L46">
        <v>1</v>
      </c>
      <c r="S46">
        <v>3</v>
      </c>
      <c r="T46">
        <v>6</v>
      </c>
      <c r="U46">
        <v>0</v>
      </c>
      <c r="V46">
        <v>1</v>
      </c>
      <c r="W46">
        <f>S46/GCD(S46,T46)</f>
        <v>1</v>
      </c>
      <c r="X46">
        <f>T46/GCD(S46,T46)</f>
        <v>2</v>
      </c>
      <c r="Y46">
        <f>IF(V46 = 0, 0, U46/GCD(U46,V46))</f>
        <v>0</v>
      </c>
      <c r="Z46">
        <f t="shared" si="0"/>
        <v>1</v>
      </c>
    </row>
    <row r="47" spans="1:26" x14ac:dyDescent="0.25">
      <c r="A47" t="s">
        <v>25</v>
      </c>
      <c r="B47">
        <v>2</v>
      </c>
      <c r="C47">
        <v>2</v>
      </c>
      <c r="L47">
        <v>1</v>
      </c>
      <c r="S47">
        <v>4</v>
      </c>
      <c r="T47">
        <v>6</v>
      </c>
      <c r="U47">
        <v>0</v>
      </c>
      <c r="V47">
        <v>1</v>
      </c>
      <c r="W47">
        <f>S47/GCD(S47,T47)</f>
        <v>2</v>
      </c>
      <c r="X47">
        <f>T47/GCD(S47,T47)</f>
        <v>3</v>
      </c>
      <c r="Y47">
        <f>IF(V47 = 0, 0, U47/GCD(U47,V47))</f>
        <v>0</v>
      </c>
      <c r="Z47">
        <f t="shared" si="0"/>
        <v>1</v>
      </c>
    </row>
    <row r="48" spans="1:26" x14ac:dyDescent="0.25">
      <c r="A48" t="s">
        <v>25</v>
      </c>
      <c r="B48">
        <v>3</v>
      </c>
      <c r="C48">
        <v>1</v>
      </c>
      <c r="L48">
        <v>1</v>
      </c>
      <c r="S48">
        <v>5</v>
      </c>
      <c r="T48">
        <v>6</v>
      </c>
      <c r="U48">
        <v>0</v>
      </c>
      <c r="V48">
        <v>1</v>
      </c>
      <c r="W48">
        <f>S48/GCD(S48,T48)</f>
        <v>5</v>
      </c>
      <c r="X48">
        <f>T48/GCD(S48,T48)</f>
        <v>6</v>
      </c>
      <c r="Y48">
        <f>IF(V48 = 0, 0, U48/GCD(U48,V48))</f>
        <v>0</v>
      </c>
      <c r="Z48">
        <f t="shared" si="0"/>
        <v>1</v>
      </c>
    </row>
    <row r="50" spans="1:26" x14ac:dyDescent="0.25">
      <c r="A50" t="s">
        <v>26</v>
      </c>
      <c r="B50">
        <v>1</v>
      </c>
      <c r="C50">
        <v>3</v>
      </c>
      <c r="M50">
        <v>1</v>
      </c>
      <c r="S50">
        <v>3</v>
      </c>
      <c r="T50">
        <v>6</v>
      </c>
      <c r="U50">
        <v>0</v>
      </c>
      <c r="V50">
        <v>1</v>
      </c>
      <c r="W50">
        <f>S50/GCD(S50,T50)</f>
        <v>1</v>
      </c>
      <c r="X50">
        <f>T50/GCD(S50,T50)</f>
        <v>2</v>
      </c>
      <c r="Y50">
        <f>IF(V50 = 0, 0, U50/GCD(U50,V50))</f>
        <v>0</v>
      </c>
      <c r="Z50">
        <f t="shared" si="0"/>
        <v>1</v>
      </c>
    </row>
    <row r="51" spans="1:26" x14ac:dyDescent="0.25">
      <c r="A51" t="s">
        <v>26</v>
      </c>
      <c r="B51">
        <v>1</v>
      </c>
      <c r="C51">
        <v>1</v>
      </c>
      <c r="M51">
        <v>1</v>
      </c>
      <c r="S51">
        <v>4</v>
      </c>
      <c r="T51">
        <v>6</v>
      </c>
      <c r="U51">
        <v>0</v>
      </c>
      <c r="V51">
        <v>1</v>
      </c>
      <c r="W51">
        <f>S51/GCD(S51,T51)</f>
        <v>2</v>
      </c>
      <c r="X51">
        <f>T51/GCD(S51,T51)</f>
        <v>3</v>
      </c>
      <c r="Y51">
        <f>IF(V51 = 0, 0, U51/GCD(U51,V51))</f>
        <v>0</v>
      </c>
      <c r="Z51">
        <f t="shared" si="0"/>
        <v>1</v>
      </c>
    </row>
    <row r="52" spans="1:26" x14ac:dyDescent="0.25">
      <c r="A52" t="s">
        <v>26</v>
      </c>
      <c r="B52">
        <v>3</v>
      </c>
      <c r="C52">
        <v>1</v>
      </c>
      <c r="M52">
        <v>1</v>
      </c>
      <c r="S52">
        <v>5</v>
      </c>
      <c r="T52">
        <v>6</v>
      </c>
      <c r="U52">
        <v>0</v>
      </c>
      <c r="V52">
        <v>1</v>
      </c>
      <c r="W52">
        <f>S52/GCD(S52,T52)</f>
        <v>5</v>
      </c>
      <c r="X52">
        <f>T52/GCD(S52,T52)</f>
        <v>6</v>
      </c>
      <c r="Y52">
        <f>IF(V52 = 0, 0, U52/GCD(U52,V52))</f>
        <v>0</v>
      </c>
      <c r="Z52">
        <f t="shared" si="0"/>
        <v>1</v>
      </c>
    </row>
    <row r="54" spans="1:26" x14ac:dyDescent="0.25">
      <c r="A54" t="s">
        <v>27</v>
      </c>
      <c r="B54">
        <v>1</v>
      </c>
      <c r="C54">
        <v>3</v>
      </c>
      <c r="N54">
        <v>1</v>
      </c>
      <c r="S54">
        <v>1</v>
      </c>
      <c r="T54">
        <v>6</v>
      </c>
      <c r="U54">
        <v>0</v>
      </c>
      <c r="V54">
        <v>1</v>
      </c>
      <c r="W54">
        <f>S54/GCD(S54,T54)</f>
        <v>1</v>
      </c>
      <c r="X54">
        <f>T54/GCD(S54,T54)</f>
        <v>6</v>
      </c>
      <c r="Y54">
        <f>IF(V54 = 0, 0, U54/GCD(U54,V54))</f>
        <v>0</v>
      </c>
      <c r="Z54">
        <f t="shared" si="0"/>
        <v>1</v>
      </c>
    </row>
    <row r="55" spans="1:26" x14ac:dyDescent="0.25">
      <c r="A55" t="s">
        <v>27</v>
      </c>
      <c r="B55">
        <v>1</v>
      </c>
      <c r="C55">
        <v>1</v>
      </c>
      <c r="N55">
        <v>1</v>
      </c>
      <c r="S55">
        <v>2</v>
      </c>
      <c r="T55">
        <v>6</v>
      </c>
      <c r="U55">
        <v>0</v>
      </c>
      <c r="V55">
        <v>1</v>
      </c>
      <c r="W55">
        <f>S55/GCD(S55,T55)</f>
        <v>1</v>
      </c>
      <c r="X55">
        <f>T55/GCD(S55,T55)</f>
        <v>3</v>
      </c>
      <c r="Y55">
        <f>IF(V55 = 0, 0, U55/GCD(U55,V55))</f>
        <v>0</v>
      </c>
      <c r="Z55">
        <f t="shared" si="0"/>
        <v>1</v>
      </c>
    </row>
    <row r="56" spans="1:26" x14ac:dyDescent="0.25">
      <c r="A56" t="s">
        <v>27</v>
      </c>
      <c r="B56">
        <v>3</v>
      </c>
      <c r="C56">
        <v>1</v>
      </c>
      <c r="N56">
        <v>1</v>
      </c>
      <c r="S56">
        <v>4</v>
      </c>
      <c r="T56">
        <v>6</v>
      </c>
      <c r="U56">
        <v>0</v>
      </c>
      <c r="V56">
        <v>1</v>
      </c>
      <c r="W56">
        <f>S56/GCD(S56,T56)</f>
        <v>2</v>
      </c>
      <c r="X56">
        <f>T56/GCD(S56,T56)</f>
        <v>3</v>
      </c>
      <c r="Y56">
        <f>IF(V56 = 0, 0, U56/GCD(U56,V56))</f>
        <v>0</v>
      </c>
      <c r="Z56">
        <f t="shared" si="0"/>
        <v>1</v>
      </c>
    </row>
    <row r="58" spans="1:26" x14ac:dyDescent="0.25">
      <c r="A58" s="1" t="s">
        <v>28</v>
      </c>
      <c r="B58">
        <v>1</v>
      </c>
      <c r="C58">
        <v>3</v>
      </c>
      <c r="O58">
        <v>1</v>
      </c>
      <c r="S58">
        <v>5</v>
      </c>
      <c r="T58">
        <v>6</v>
      </c>
      <c r="U58">
        <v>0</v>
      </c>
      <c r="V58">
        <v>1</v>
      </c>
      <c r="W58">
        <f>S58/GCD(S58,T58)</f>
        <v>5</v>
      </c>
      <c r="X58">
        <f>T58/GCD(S58,T58)</f>
        <v>6</v>
      </c>
      <c r="Y58">
        <f>IF(V58 = 0, 0, U58/GCD(U58,V58))</f>
        <v>0</v>
      </c>
      <c r="Z58">
        <f t="shared" si="0"/>
        <v>1</v>
      </c>
    </row>
    <row r="59" spans="1:26" x14ac:dyDescent="0.25">
      <c r="A59" s="1" t="s">
        <v>31</v>
      </c>
      <c r="B59">
        <v>1</v>
      </c>
      <c r="C59">
        <v>1</v>
      </c>
      <c r="P59">
        <v>1</v>
      </c>
      <c r="S59">
        <v>4</v>
      </c>
      <c r="T59">
        <v>6</v>
      </c>
      <c r="U59">
        <v>0</v>
      </c>
      <c r="V59">
        <v>1</v>
      </c>
      <c r="W59">
        <f>S59/GCD(S59,T59)</f>
        <v>2</v>
      </c>
      <c r="X59">
        <f>T59/GCD(S59,T59)</f>
        <v>3</v>
      </c>
      <c r="Y59">
        <f>IF(V59 = 0, 0, U59/GCD(U59,V59))</f>
        <v>0</v>
      </c>
      <c r="Z59">
        <f t="shared" si="0"/>
        <v>1</v>
      </c>
    </row>
    <row r="60" spans="1:26" x14ac:dyDescent="0.25">
      <c r="A60" s="1" t="s">
        <v>30</v>
      </c>
      <c r="B60">
        <v>3</v>
      </c>
      <c r="C60">
        <v>1</v>
      </c>
      <c r="Q60">
        <v>1</v>
      </c>
      <c r="S60">
        <v>5</v>
      </c>
      <c r="T60">
        <v>6</v>
      </c>
      <c r="U60">
        <v>0</v>
      </c>
      <c r="V60">
        <v>1</v>
      </c>
      <c r="W60">
        <f>S60/GCD(S60,T60)</f>
        <v>5</v>
      </c>
      <c r="X60">
        <f>T60/GCD(S60,T60)</f>
        <v>6</v>
      </c>
      <c r="Y60">
        <f>IF(V60 = 0, 0, U60/GCD(U60,V60))</f>
        <v>0</v>
      </c>
      <c r="Z60">
        <f t="shared" si="0"/>
        <v>1</v>
      </c>
    </row>
    <row r="61" spans="1:26" x14ac:dyDescent="0.25">
      <c r="A61" s="1" t="s">
        <v>29</v>
      </c>
      <c r="B61">
        <v>3</v>
      </c>
      <c r="C61">
        <v>1</v>
      </c>
      <c r="R61">
        <v>1</v>
      </c>
      <c r="S61">
        <v>5</v>
      </c>
      <c r="T61">
        <v>6</v>
      </c>
      <c r="U61">
        <v>0</v>
      </c>
      <c r="V61">
        <v>1</v>
      </c>
      <c r="W61">
        <f>S61/GCD(S61,T61)</f>
        <v>5</v>
      </c>
      <c r="X61">
        <f>T61/GCD(S61,T61)</f>
        <v>6</v>
      </c>
      <c r="Y61">
        <f>IF(V61 = 0, 0, U61/GCD(U61,V61))</f>
        <v>0</v>
      </c>
      <c r="Z6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ToHitTests</vt:lpstr>
      <vt:lpstr>ToWoundTests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Buchner</dc:creator>
  <cp:lastModifiedBy>Jonathan Buchner</cp:lastModifiedBy>
  <dcterms:created xsi:type="dcterms:W3CDTF">2026-05-07T23:29:36Z</dcterms:created>
  <dcterms:modified xsi:type="dcterms:W3CDTF">2026-05-09T01:46:57Z</dcterms:modified>
</cp:coreProperties>
</file>